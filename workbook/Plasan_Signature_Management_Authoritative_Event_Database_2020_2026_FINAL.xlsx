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Master Events" sheetId="2" state="visible" r:id="rId2"/>
    <sheet xmlns:r="http://schemas.openxmlformats.org/officeDocument/2006/relationships" name="Programme Families" sheetId="3" state="visible" r:id="rId3"/>
    <sheet xmlns:r="http://schemas.openxmlformats.org/officeDocument/2006/relationships" name="Annual Metrics" sheetId="4" state="visible" r:id="rId4"/>
    <sheet xmlns:r="http://schemas.openxmlformats.org/officeDocument/2006/relationships" name="Reconciliation Log" sheetId="5" state="visible" r:id="rId5"/>
    <sheet xmlns:r="http://schemas.openxmlformats.org/officeDocument/2006/relationships" name="Gap Log" sheetId="6" state="visible" r:id="rId6"/>
    <sheet xmlns:r="http://schemas.openxmlformats.org/officeDocument/2006/relationships" name="Integrity Audit" sheetId="7" state="visible" r:id="rId7"/>
    <sheet xmlns:r="http://schemas.openxmlformats.org/officeDocument/2006/relationships" name="Method &amp; Definitions" sheetId="8" state="visible" r:id="rId8"/>
    <sheet xmlns:r="http://schemas.openxmlformats.org/officeDocument/2006/relationships" name="Order Concentration" sheetId="9" state="visible" r:id="rId9"/>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12">
    <font>
      <name val="Carlito"/>
      <sz val="11"/>
    </font>
    <font>
      <name val="Carlito"/>
      <b val="1"/>
      <color rgb="FFFFFFFF"/>
      <sz val="18"/>
    </font>
    <font>
      <name val="Carlito"/>
      <i val="1"/>
      <color rgb="FF667085"/>
      <sz val="10"/>
    </font>
    <font>
      <name val="Carlito"/>
      <b val="1"/>
      <color rgb="FFFFFFFF"/>
      <sz val="13"/>
    </font>
    <font>
      <name val="Carlito"/>
      <b val="1"/>
      <color rgb="FFFFFFFF"/>
      <sz val="11"/>
    </font>
    <font>
      <name val="Carlito"/>
      <color rgb="FF1F2937"/>
      <sz val="9"/>
    </font>
    <font>
      <name val="Carlito"/>
      <i val="1"/>
      <color rgb="FF6B4F00"/>
      <sz val="11"/>
    </font>
    <font>
      <name val="Carlito"/>
      <b val="1"/>
      <color rgb="FFFFFFFF"/>
      <sz val="16"/>
    </font>
    <font>
      <name val="Carlito"/>
      <b val="1"/>
      <color rgb="FFFFFFFF"/>
      <sz val="10"/>
    </font>
    <font>
      <name val="Carlito"/>
      <i val="1"/>
      <color rgb="FF1F2937"/>
      <sz val="9"/>
    </font>
    <font>
      <name val="Carlito"/>
      <b val="1"/>
      <color rgb="FFFFFFFF"/>
      <sz val="12"/>
    </font>
    <font>
      <name val="Carlito"/>
      <b val="1"/>
      <color rgb="FF17324D"/>
      <sz val="11"/>
    </font>
  </fonts>
  <fills count="14">
    <fill>
      <patternFill/>
    </fill>
    <fill>
      <patternFill patternType="gray125"/>
    </fill>
    <fill>
      <patternFill patternType="solid">
        <fgColor rgb="FF17324D"/>
      </patternFill>
    </fill>
    <fill>
      <patternFill patternType="solid">
        <fgColor rgb="FFF4F7FA"/>
      </patternFill>
    </fill>
    <fill>
      <patternFill patternType="solid">
        <fgColor rgb="FF0B7A75"/>
      </patternFill>
    </fill>
    <fill>
      <patternFill patternType="solid">
        <fgColor rgb="FF245B78"/>
      </patternFill>
    </fill>
    <fill>
      <patternFill patternType="solid">
        <fgColor rgb="FFFFF4D6"/>
      </patternFill>
    </fill>
    <fill>
      <patternFill patternType="solid">
        <fgColor rgb="FFE6F4EA"/>
      </patternFill>
    </fill>
    <fill>
      <patternFill patternType="solid">
        <fgColor rgb="FFFCE8E6"/>
      </patternFill>
    </fill>
    <fill>
      <patternFill patternType="solid">
        <fgColor rgb="FF17324D"/>
      </patternFill>
    </fill>
    <fill>
      <patternFill patternType="solid">
        <fgColor rgb="FF245B78"/>
      </patternFill>
    </fill>
    <fill>
      <patternFill patternType="solid">
        <fgColor rgb="FFF4F7FA"/>
      </patternFill>
    </fill>
    <fill>
      <patternFill patternType="solid">
        <fgColor rgb="FF0B7A75"/>
      </patternFill>
    </fill>
    <fill>
      <patternFill patternType="solid">
        <fgColor rgb="FFFFFFFF"/>
      </patternFill>
    </fill>
  </fills>
  <borders count="23">
    <border/>
    <border>
      <left style="thin">
        <color rgb="FFD0D7DE"/>
      </left>
      <right style="thin">
        <color rgb="FFD0D7DE"/>
      </right>
      <top style="thin">
        <color rgb="FFD0D7DE"/>
      </top>
      <bottom style="thin">
        <color rgb="FFD0D7DE"/>
      </bottom>
    </border>
    <border>
      <left/>
      <right style="thin">
        <color rgb="FFD0D7DE"/>
      </right>
      <top/>
      <bottom style="thin">
        <color rgb="FFD0D7DE"/>
      </bottom>
    </border>
    <border>
      <left style="thin">
        <color rgb="FFD0D7DE"/>
      </left>
      <right style="thin">
        <color rgb="FFD0D7DE"/>
      </right>
      <top/>
      <bottom style="thin">
        <color rgb="FFD0D7DE"/>
      </bottom>
    </border>
    <border>
      <left style="thin">
        <color rgb="FFD0D7DE"/>
      </left>
      <right/>
      <top/>
      <bottom style="thin">
        <color rgb="FFD0D7DE"/>
      </bottom>
    </border>
    <border>
      <left/>
      <right style="thin">
        <color rgb="FFD0D7DE"/>
      </right>
      <top style="thin">
        <color rgb="FFD0D7DE"/>
      </top>
      <bottom style="thin">
        <color rgb="FFD0D7DE"/>
      </bottom>
    </border>
    <border>
      <left style="thin">
        <color rgb="FFD0D7DE"/>
      </left>
      <right style="thin">
        <color rgb="FFD0D7DE"/>
      </right>
      <top style="thin">
        <color rgb="FFD0D7DE"/>
      </top>
      <bottom style="thin">
        <color rgb="FFD0D7DE"/>
      </bottom>
    </border>
    <border>
      <left style="thin">
        <color rgb="FFD0D7DE"/>
      </left>
      <right/>
      <top style="thin">
        <color rgb="FFD0D7DE"/>
      </top>
      <bottom style="thin">
        <color rgb="FFD0D7DE"/>
      </bottom>
    </border>
    <border>
      <left/>
      <bottom/>
    </border>
    <border>
      <bottom/>
    </border>
    <border>
      <right/>
      <bottom/>
    </border>
    <border>
      <left/>
      <right style="thin">
        <color rgb="FFD0D7DE"/>
      </right>
      <top style="thin">
        <color rgb="FFD0D7DE"/>
      </top>
      <bottom/>
    </border>
    <border>
      <left style="thin">
        <color rgb="FFD0D7DE"/>
      </left>
      <right style="thin">
        <color rgb="FFD0D7DE"/>
      </right>
      <top style="thin">
        <color rgb="FFD0D7DE"/>
      </top>
      <bottom/>
    </border>
    <border>
      <left style="thin">
        <color rgb="FFD0D7DE"/>
      </left>
      <right/>
      <top style="thin">
        <color rgb="FFD0D7DE"/>
      </top>
      <bottom/>
    </border>
    <border>
      <right style="thin">
        <color rgb="FFD0D7DE"/>
      </right>
    </border>
    <border>
      <bottom style="thin">
        <color rgb="FFD0D7DE"/>
      </bottom>
    </border>
    <border>
      <right style="thin">
        <color rgb="FFD0D7DE"/>
      </right>
      <bottom style="thin">
        <color rgb="FFD0D7DE"/>
      </bottom>
    </border>
    <border>
      <top style="thin">
        <color rgb="FFD0D7DE"/>
      </top>
    </border>
    <border>
      <right style="thin">
        <color rgb="FFD0D7DE"/>
      </right>
      <top style="thin">
        <color rgb="FFD0D7DE"/>
      </top>
    </border>
    <border>
      <top style="thin">
        <color rgb="FFD0D7DE"/>
      </top>
      <bottom style="thin">
        <color rgb="FFD0D7DE"/>
      </bottom>
    </border>
    <border>
      <right style="thin">
        <color rgb="FFD0D7DE"/>
      </right>
      <top style="thin">
        <color rgb="FFD0D7DE"/>
      </top>
      <bottom style="thin">
        <color rgb="FFD0D7DE"/>
      </bottom>
    </border>
    <border>
      <left style="thin">
        <color rgb="FFD0D7DE"/>
      </left>
    </border>
    <border>
      <left style="thin">
        <color rgb="FFD0D7DE"/>
      </left>
      <bottom style="thin">
        <color rgb="FFD0D7DE"/>
      </bottom>
    </border>
  </borders>
  <cellStyleXfs count="1">
    <xf numFmtId="0" fontId="0" fillId="0" borderId="0"/>
  </cellStyleXfs>
  <cellXfs count="11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5" borderId="0" pivotButton="0" quotePrefix="0" xfId="0"/>
    <xf numFmtId="0" fontId="4" fillId="5" borderId="0"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vertical="center" wrapText="1"/>
    </xf>
    <xf numFmtId="0" fontId="5" fillId="0" borderId="0" pivotButton="0" quotePrefix="0" xfId="0"/>
    <xf numFmtId="0" fontId="5" fillId="0" borderId="1" pivotButton="0" quotePrefix="0" xfId="0"/>
    <xf numFmtId="0" fontId="5" fillId="0" borderId="1" applyAlignment="1" pivotButton="0" quotePrefix="0" xfId="0">
      <alignment wrapText="1"/>
    </xf>
    <xf numFmtId="0" fontId="5" fillId="0" borderId="1" applyAlignment="1" pivotButton="0" quotePrefix="0" xfId="0">
      <alignment vertical="top" wrapText="1"/>
    </xf>
    <xf numFmtId="1" fontId="5" fillId="0" borderId="1" applyAlignment="1" pivotButton="0" quotePrefix="0" xfId="0">
      <alignment vertical="top" wrapText="1"/>
    </xf>
    <xf numFmtId="3" fontId="5" fillId="0" borderId="1" applyAlignment="1" pivotButton="0" quotePrefix="0" xfId="0">
      <alignment vertical="top" wrapText="1"/>
    </xf>
    <xf numFmtId="4" fontId="5" fillId="0" borderId="1" applyAlignment="1" pivotButton="0" quotePrefix="0" xfId="0">
      <alignment vertical="top" wrapText="1"/>
    </xf>
    <xf numFmtId="0" fontId="0" fillId="6" borderId="0" pivotButton="0" quotePrefix="0" xfId="0"/>
    <xf numFmtId="0" fontId="6" fillId="6" borderId="0" pivotButton="0" quotePrefix="0" xfId="0"/>
    <xf numFmtId="0" fontId="6" fillId="6" borderId="0" applyAlignment="1" pivotButton="0" quotePrefix="0" xfId="0">
      <alignment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6" borderId="1" applyAlignment="1" pivotButton="0" quotePrefix="0" xfId="0">
      <alignment vertical="top" wrapText="1"/>
    </xf>
    <xf numFmtId="164" fontId="5" fillId="0" borderId="1" applyAlignment="1" pivotButton="0" quotePrefix="0" xfId="0">
      <alignment vertical="top" wrapText="1"/>
    </xf>
    <xf numFmtId="164" fontId="0" fillId="0" borderId="0" pivotButton="0" quotePrefix="0" xfId="0"/>
    <xf numFmtId="1" fontId="0" fillId="0" borderId="0" pivotButton="0" quotePrefix="0" xfId="0"/>
    <xf numFmtId="2" fontId="5" fillId="0" borderId="1" applyAlignment="1" pivotButton="0" quotePrefix="0" xfId="0">
      <alignment vertical="top" wrapText="1"/>
    </xf>
    <xf numFmtId="2" fontId="0" fillId="0" borderId="0" pivotButton="0" quotePrefix="0" xfId="0"/>
    <xf numFmtId="4" fontId="0" fillId="0" borderId="0" pivotButton="0" quotePrefix="0" xfId="0"/>
    <xf numFmtId="0" fontId="1" fillId="9" borderId="0" applyAlignment="1" pivotButton="0" quotePrefix="0" xfId="0">
      <alignment vertical="center"/>
    </xf>
    <xf numFmtId="0" fontId="7" fillId="9" borderId="0" applyAlignment="1" pivotButton="0" quotePrefix="0" xfId="0">
      <alignment vertical="center"/>
    </xf>
    <xf numFmtId="0" fontId="4" fillId="10" borderId="1" applyAlignment="1" pivotButton="0" quotePrefix="0" xfId="0">
      <alignment vertical="center" wrapText="1"/>
    </xf>
    <xf numFmtId="0" fontId="8" fillId="10" borderId="1" applyAlignment="1" pivotButton="0" quotePrefix="0" xfId="0">
      <alignment vertical="center" wrapText="1"/>
    </xf>
    <xf numFmtId="0" fontId="2" fillId="11" borderId="0" applyAlignment="1" pivotButton="0" quotePrefix="0" xfId="0">
      <alignment wrapText="1"/>
    </xf>
    <xf numFmtId="0" fontId="7" fillId="9" borderId="0" applyAlignment="1" pivotButton="0" quotePrefix="0" xfId="0">
      <alignment vertical="top"/>
    </xf>
    <xf numFmtId="1" fontId="1" fillId="2" borderId="0" applyAlignment="1" pivotButton="0" quotePrefix="0" xfId="0">
      <alignment vertical="center"/>
    </xf>
    <xf numFmtId="1" fontId="1" fillId="9" borderId="0" applyAlignment="1" pivotButton="0" quotePrefix="0" xfId="0">
      <alignment vertical="center"/>
    </xf>
    <xf numFmtId="0" fontId="0" fillId="9" borderId="0" pivotButton="0" quotePrefix="0" xfId="0"/>
    <xf numFmtId="1" fontId="7" fillId="9" borderId="0" applyAlignment="1" pivotButton="0" quotePrefix="0" xfId="0">
      <alignment vertical="center"/>
    </xf>
    <xf numFmtId="0" fontId="7" fillId="9" borderId="0" pivotButton="0" quotePrefix="0" xfId="0"/>
    <xf numFmtId="0" fontId="0" fillId="10" borderId="0" pivotButton="0" quotePrefix="0" xfId="0"/>
    <xf numFmtId="0" fontId="8" fillId="10" borderId="0" pivotButton="0" quotePrefix="0" xfId="0"/>
    <xf numFmtId="0" fontId="8" fillId="10" borderId="0" applyAlignment="1" pivotButton="0" quotePrefix="0" xfId="0">
      <alignment wrapText="1"/>
    </xf>
    <xf numFmtId="0" fontId="9" fillId="6" borderId="0" applyAlignment="1" pivotButton="0" quotePrefix="0" xfId="0">
      <alignment wrapText="1"/>
    </xf>
    <xf numFmtId="0" fontId="5" fillId="0" borderId="0" applyAlignment="1" pivotButton="0" quotePrefix="0" xfId="0">
      <alignment wrapText="1"/>
    </xf>
    <xf numFmtId="0" fontId="8" fillId="10" borderId="1" applyAlignment="1" pivotButton="0" quotePrefix="0" xfId="0">
      <alignment wrapText="1"/>
    </xf>
    <xf numFmtId="0" fontId="9" fillId="6" borderId="1" applyAlignment="1" pivotButton="0" quotePrefix="0" xfId="0">
      <alignment wrapText="1"/>
    </xf>
    <xf numFmtId="165" fontId="0" fillId="0" borderId="0" pivotButton="0" quotePrefix="0" xfId="0"/>
    <xf numFmtId="165" fontId="5" fillId="0" borderId="0" pivotButton="0" quotePrefix="0" xfId="0"/>
    <xf numFmtId="165" fontId="5" fillId="0" borderId="0" applyAlignment="1" pivotButton="0" quotePrefix="0" xfId="0">
      <alignment wrapText="1"/>
    </xf>
    <xf numFmtId="165" fontId="5" fillId="0" borderId="1" applyAlignment="1" pivotButton="0" quotePrefix="0" xfId="0">
      <alignment wrapText="1"/>
    </xf>
    <xf numFmtId="0" fontId="4" fillId="12" borderId="1" applyAlignment="1" pivotButton="0" quotePrefix="0" xfId="0">
      <alignment vertical="center" wrapText="1"/>
    </xf>
    <xf numFmtId="0" fontId="0" fillId="12" borderId="0" pivotButton="0" quotePrefix="0" xfId="0"/>
    <xf numFmtId="0" fontId="4" fillId="12" borderId="0" pivotButton="0" quotePrefix="0" xfId="0"/>
    <xf numFmtId="0" fontId="5" fillId="11" borderId="1" applyAlignment="1" pivotButton="0" quotePrefix="0" xfId="0">
      <alignment vertical="top" wrapText="1"/>
    </xf>
    <xf numFmtId="0" fontId="0" fillId="11" borderId="0" pivotButton="0" quotePrefix="0" xfId="0"/>
    <xf numFmtId="0" fontId="0" fillId="11" borderId="0" applyAlignment="1" pivotButton="0" quotePrefix="0" xfId="0">
      <alignment wrapText="1"/>
    </xf>
    <xf numFmtId="165" fontId="5" fillId="0" borderId="1" applyAlignment="1" pivotButton="0" quotePrefix="0" xfId="0">
      <alignment vertical="top" wrapText="1"/>
    </xf>
    <xf numFmtId="0" fontId="5" fillId="10" borderId="1" applyAlignment="1" pivotButton="0" quotePrefix="0" xfId="0">
      <alignment vertical="top" wrapText="1"/>
    </xf>
    <xf numFmtId="0" fontId="8" fillId="10" borderId="1" applyAlignment="1" pivotButton="0" quotePrefix="0" xfId="0">
      <alignment vertical="top" wrapText="1"/>
    </xf>
    <xf numFmtId="1" fontId="0" fillId="0" borderId="1" pivotButton="0" quotePrefix="0" xfId="0"/>
    <xf numFmtId="0" fontId="4" fillId="13" borderId="1" applyAlignment="1" pivotButton="0" quotePrefix="0" xfId="0">
      <alignment vertical="center" wrapText="1"/>
    </xf>
    <xf numFmtId="0" fontId="5" fillId="13" borderId="1" applyAlignment="1" pivotButton="0" quotePrefix="0" xfId="0">
      <alignment vertical="top" wrapText="1"/>
    </xf>
    <xf numFmtId="0" fontId="0" fillId="13" borderId="0" pivotButton="0" quotePrefix="0" xfId="0"/>
    <xf numFmtId="0" fontId="4" fillId="13" borderId="2" applyAlignment="1" pivotButton="0" quotePrefix="0" xfId="0">
      <alignment vertical="center" wrapText="1"/>
    </xf>
    <xf numFmtId="0" fontId="4" fillId="13" borderId="3" applyAlignment="1" pivotButton="0" quotePrefix="0" xfId="0">
      <alignment vertical="center" wrapText="1"/>
    </xf>
    <xf numFmtId="0" fontId="4" fillId="13" borderId="4" applyAlignment="1" pivotButton="0" quotePrefix="0" xfId="0">
      <alignment vertical="center" wrapText="1"/>
    </xf>
    <xf numFmtId="0" fontId="5" fillId="13" borderId="5" applyAlignment="1" pivotButton="0" quotePrefix="0" xfId="0">
      <alignment vertical="top" wrapText="1"/>
    </xf>
    <xf numFmtId="0" fontId="5" fillId="13" borderId="6" applyAlignment="1" pivotButton="0" quotePrefix="0" xfId="0">
      <alignment vertical="top" wrapText="1"/>
    </xf>
    <xf numFmtId="0" fontId="5" fillId="13" borderId="7" applyAlignment="1" pivotButton="0" quotePrefix="0" xfId="0">
      <alignment vertical="top" wrapText="1"/>
    </xf>
    <xf numFmtId="0" fontId="0" fillId="13" borderId="8" pivotButton="0" quotePrefix="0" xfId="0"/>
    <xf numFmtId="0" fontId="0" fillId="13" borderId="9" pivotButton="0" quotePrefix="0" xfId="0"/>
    <xf numFmtId="0" fontId="0" fillId="13" borderId="10" pivotButton="0" quotePrefix="0" xfId="0"/>
    <xf numFmtId="0" fontId="5" fillId="13" borderId="11" applyAlignment="1" pivotButton="0" quotePrefix="0" xfId="0">
      <alignment vertical="top" wrapText="1"/>
    </xf>
    <xf numFmtId="0" fontId="5" fillId="13" borderId="12" applyAlignment="1" pivotButton="0" quotePrefix="0" xfId="0">
      <alignment vertical="top" wrapText="1"/>
    </xf>
    <xf numFmtId="0" fontId="5" fillId="13" borderId="13" applyAlignment="1" pivotButton="0" quotePrefix="0" xfId="0">
      <alignment vertical="top" wrapText="1"/>
    </xf>
    <xf numFmtId="0" fontId="3" fillId="12" borderId="0" applyAlignment="1" pivotButton="0" quotePrefix="0" xfId="0">
      <alignment horizontal="center" vertical="center" wrapText="1"/>
    </xf>
    <xf numFmtId="0" fontId="10" fillId="12" borderId="0" applyAlignment="1" pivotButton="0" quotePrefix="0" xfId="0">
      <alignment horizontal="center" vertical="center" wrapText="1"/>
    </xf>
    <xf numFmtId="0" fontId="0" fillId="0" borderId="1" pivotButton="0" quotePrefix="0" xfId="0"/>
    <xf numFmtId="0" fontId="0" fillId="11" borderId="1" pivotButton="0" quotePrefix="0" xfId="0"/>
    <xf numFmtId="0" fontId="11" fillId="11" borderId="1" pivotButton="0" quotePrefix="0" xfId="0"/>
    <xf numFmtId="0" fontId="11" fillId="11" borderId="1" applyAlignment="1" pivotButton="0" quotePrefix="0" xfId="0">
      <alignment wrapText="1"/>
    </xf>
    <xf numFmtId="0" fontId="0" fillId="0" borderId="1" applyAlignment="1" pivotButton="0" quotePrefix="0" xfId="0">
      <alignment wrapText="1"/>
    </xf>
    <xf numFmtId="0" fontId="0" fillId="0" borderId="15" pivotButton="0" quotePrefix="0" xfId="0"/>
    <xf numFmtId="0" fontId="0" fillId="0" borderId="16" pivotButton="0" quotePrefix="0" xfId="0"/>
    <xf numFmtId="1" fontId="5" fillId="0" borderId="1" applyAlignment="1" pivotButton="0" quotePrefix="0" xfId="0">
      <alignment vertical="top" wrapText="1"/>
    </xf>
    <xf numFmtId="0" fontId="0" fillId="0" borderId="19" pivotButton="0" quotePrefix="0" xfId="0"/>
    <xf numFmtId="0" fontId="0" fillId="0" borderId="20" pivotButton="0" quotePrefix="0" xfId="0"/>
    <xf numFmtId="1" fontId="0" fillId="0" borderId="1" pivotButton="0" quotePrefix="0" xfId="0"/>
    <xf numFmtId="165" fontId="5" fillId="0" borderId="1" applyAlignment="1" pivotButton="0" quotePrefix="0" xfId="0">
      <alignment vertical="top" wrapText="1"/>
    </xf>
    <xf numFmtId="165" fontId="5" fillId="0" borderId="1" applyAlignment="1" pivotButton="0" quotePrefix="0" xfId="0">
      <alignment wrapText="1"/>
    </xf>
    <xf numFmtId="164" fontId="5" fillId="0" borderId="1" applyAlignment="1" pivotButton="0" quotePrefix="0" xfId="0">
      <alignment vertical="top" wrapText="1"/>
    </xf>
    <xf numFmtId="2" fontId="5" fillId="0" borderId="1" applyAlignment="1" pivotButton="0" quotePrefix="0" xfId="0">
      <alignment vertical="top" wrapText="1"/>
    </xf>
    <xf numFmtId="4" fontId="5" fillId="0" borderId="1" applyAlignment="1" pivotButton="0" quotePrefix="0" xfId="0">
      <alignment vertical="top" wrapText="1"/>
    </xf>
    <xf numFmtId="164" fontId="0" fillId="0" borderId="0" pivotButton="0" quotePrefix="0" xfId="0"/>
    <xf numFmtId="1" fontId="0" fillId="0" borderId="0" pivotButton="0" quotePrefix="0" xfId="0"/>
    <xf numFmtId="2" fontId="0" fillId="0" borderId="0" pivotButton="0" quotePrefix="0" xfId="0"/>
    <xf numFmtId="4" fontId="0" fillId="0" borderId="0" pivotButton="0" quotePrefix="0" xfId="0"/>
    <xf numFmtId="3" fontId="5" fillId="0" borderId="1" applyAlignment="1" pivotButton="0" quotePrefix="0" xfId="0">
      <alignment vertical="top" wrapText="1"/>
    </xf>
    <xf numFmtId="0" fontId="9" fillId="6" borderId="6" applyAlignment="1" pivotButton="0" quotePrefix="0" xfId="0">
      <alignment wrapText="1"/>
    </xf>
    <xf numFmtId="0" fontId="0" fillId="0" borderId="17" pivotButton="0" quotePrefix="0" xfId="0"/>
    <xf numFmtId="0" fontId="0" fillId="0" borderId="18" pivotButton="0" quotePrefix="0" xfId="0"/>
    <xf numFmtId="0" fontId="0" fillId="0" borderId="22" pivotButton="0" quotePrefix="0" xfId="0"/>
    <xf numFmtId="0" fontId="4" fillId="12" borderId="6" applyAlignment="1" pivotButton="0" quotePrefix="0" xfId="0">
      <alignment vertical="center" wrapText="1"/>
    </xf>
    <xf numFmtId="0" fontId="5" fillId="11" borderId="6"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MasterEvents" displayName="MasterEvents" ref="A4:AW148" headerRowCount="1" totalsRowCount="0" totalsRowShown="0">
  <tableColumns count="49">
    <tableColumn id="1" name="Event ID"/>
    <tableColumn id="2" name="Programme / Procurement Family ID"/>
    <tableColumn id="3" name="Date"/>
    <tableColumn id="4" name="Year"/>
    <tableColumn id="5" name="Country"/>
    <tableColumn id="6" name="Buyer / Contracting Authority"/>
    <tableColumn id="7" name="Canonical Buyer"/>
    <tableColumn id="8" name="Military Branch"/>
    <tableColumn id="9" name="Supplier"/>
    <tableColumn id="10" name="Canonical Supplier"/>
    <tableColumn id="11" name="Supplier Country"/>
    <tableColumn id="12" name="Programme / Requirement"/>
    <tableColumn id="13" name="Platform"/>
    <tableColumn id="14" name="Product / Solution"/>
    <tableColumn id="15" name="Signature Domain"/>
    <tableColumn id="16" name="Event Type"/>
    <tableColumn id="17" name="Procurement Stage"/>
    <tableColumn id="18" name="Actual Order?"/>
    <tableColumn id="19" name="Quantity"/>
    <tableColumn id="20" name="Quantity Unit"/>
    <tableColumn id="21" name="Quantity Basis"/>
    <tableColumn id="22" name="Monetary Value"/>
    <tableColumn id="23" name="Currency"/>
    <tableColumn id="24" name="Value Basis"/>
    <tableColumn id="25" name="Framework / Ceiling / Obligated distinction"/>
    <tableColumn id="26" name="Repeat / Follow-on?"/>
    <tableColumn id="27" name="Production vs Development / Validation"/>
    <tableColumn id="28" name="Operating Domain"/>
    <tableColumn id="29" name="Core Metric Inclusion?"/>
    <tableColumn id="30" name="Exclusion Reason"/>
    <tableColumn id="31" name="Source URL"/>
    <tableColumn id="32" name="Source Type"/>
    <tableColumn id="33" name="Evidence Quality"/>
    <tableColumn id="34" name="Confidence"/>
    <tableColumn id="35" name="Notes / Caveats"/>
    <tableColumn id="36" name="Existing in company-based?"/>
    <tableColumn id="37" name="Existing in event-based?"/>
    <tableColumn id="38" name="Existing only in company-master enrichment?"/>
    <tableColumn id="39" name="Newly discovered?"/>
    <tableColumn id="40" name="Duplicate of existing event?"/>
    <tableColumn id="41" name="Same programme family as another event?"/>
    <tableColumn id="42" name="Inclusion decision"/>
    <tableColumn id="43" name="First family-year flag"/>
    <tableColumn id="44" name="First ordered-family-year flag"/>
    <tableColumn id="45" name="First supplier-year flag"/>
    <tableColumn id="46" name="First buyer-year flag"/>
    <tableColumn id="47" name="First country-year flag"/>
    <tableColumn id="48" name="Programme first observed flag"/>
    <tableColumn id="49" name="Repeat-order / call-off flag"/>
  </tableColumns>
  <tableStyleInfo name="TableStyleMedium2" showFirstColumn="0" showLastColumn="0" showRowStripes="1" showColumnStripes="0"/>
</table>
</file>

<file path=xl/tables/table2.xml><?xml version="1.0" encoding="utf-8"?>
<table xmlns="http://schemas.openxmlformats.org/spreadsheetml/2006/main" id="2" name="ProgrammeFamilies" displayName="ProgrammeFamilies" ref="A4:O39" headerRowCount="1" totalsRowCount="0" totalsRowShown="0">
  <tableColumns count="15">
    <tableColumn id="1" name="Family ID"/>
    <tableColumn id="2" name="First year"/>
    <tableColumn id="3" name="Last year"/>
    <tableColumn id="4" name="Countries"/>
    <tableColumn id="5" name="Canonical buyers"/>
    <tableColumn id="6" name="Suppliers"/>
    <tableColumn id="7" name="Programme / requirement"/>
    <tableColumn id="8" name="Lifecycle events"/>
    <tableColumn id="9" name="Actual orders"/>
    <tableColumn id="10" name="Has actual order?"/>
    <tableColumn id="11" name="Disclosed ordered quantity*"/>
    <tableColumn id="12" name="Currencies"/>
    <tableColumn id="13" name="Repeat order/call-off?"/>
    <tableColumn id="14" name="Has development/validation?"/>
    <tableColumn id="15" name="Event IDs"/>
  </tableColumns>
  <tableStyleInfo name="TableStyleMedium2" showFirstColumn="0" showLastColumn="0" showRowStripes="1" showColumnStripes="0"/>
</table>
</file>

<file path=xl/tables/table3.xml><?xml version="1.0" encoding="utf-8"?>
<table xmlns="http://schemas.openxmlformats.org/spreadsheetml/2006/main" id="3" name="AnnualMetrics" displayName="AnnualMetrics" ref="A4:L11" headerRowCount="1" totalsRowCount="0" totalsRowShown="0">
  <tableColumns count="12">
    <tableColumn id="1" name="Year"/>
    <tableColumn id="2" name="Total public events"/>
    <tableColumn id="3" name="Actual Orders"/>
    <tableColumn id="4" name="Active programmes / requirements"/>
    <tableColumn id="5" name="Programmes with ≥1 Actual Order"/>
    <tableColumn id="6" name="Active suppliers"/>
    <tableColumn id="7" name="Unique canonical buyers"/>
    <tableColumn id="8" name="Countries"/>
    <tableColumn id="9" name="Development / validation events"/>
    <tableColumn id="10" name="Programmes first observed"/>
    <tableColumn id="11" name="Repeat-order / call-off activity"/>
    <tableColumn id="12" name="Interpretation"/>
  </tableColumns>
  <tableStyleInfo name="TableStyleMedium2" showFirstColumn="0" showLastColumn="0" showRowStripes="1" showColumnStripes="0"/>
</table>
</file>

<file path=xl/tables/table4.xml><?xml version="1.0" encoding="utf-8"?>
<table xmlns="http://schemas.openxmlformats.org/spreadsheetml/2006/main" id="4" name="ChangeLog" displayName="ChangeLog" ref="A4:E16" headerRowCount="1" totalsRowCount="0" totalsRowShown="0">
  <tableColumns count="5">
    <tableColumn id="1" name="Topic"/>
    <tableColumn id="2" name="Reference layer"/>
    <tableColumn id="3" name="Old count / treatment"/>
    <tableColumn id="4" name="Corrected count / treatment"/>
    <tableColumn id="5" name="Why changed"/>
  </tableColumns>
  <tableStyleInfo name="TableStyleMedium2" showFirstColumn="0" showLastColumn="0" showRowStripes="1" showColumnStripes="0"/>
</table>
</file>

<file path=xl/tables/table5.xml><?xml version="1.0" encoding="utf-8"?>
<table xmlns="http://schemas.openxmlformats.org/spreadsheetml/2006/main" id="5" name="GapLog" displayName="GapLog" ref="A4:E17" headerRowCount="1" totalsRowCount="0" totalsRowShown="0">
  <tableColumns count="5">
    <tableColumn id="1" name="Workstream"/>
    <tableColumn id="2" name="Candidate / issue"/>
    <tableColumn id="3" name="Status"/>
    <tableColumn id="4" name="What was established"/>
    <tableColumn id="5" name="Remaining caveat / treatment"/>
  </tableColumns>
  <tableStyleInfo name="TableStyleMedium2" showFirstColumn="0" showLastColumn="0" showRowStripes="1" showColumnStripes="0"/>
</table>
</file>

<file path=xl/tables/table6.xml><?xml version="1.0" encoding="utf-8"?>
<table xmlns="http://schemas.openxmlformats.org/spreadsheetml/2006/main" id="6" name="IntegrityAudit" displayName="IntegrityAudit" ref="A4:C15" headerRowCount="1" totalsRowCount="0" totalsRowShown="0">
  <tableColumns count="3">
    <tableColumn id="1" name="Control"/>
    <tableColumn id="2" name="Result"/>
    <tableColumn id="3" name="Treatment / evidence"/>
  </tableColumns>
  <tableStyleInfo name="TableStyleMedium2" showFirstColumn="0" showLastColumn="0" showRowStripes="1" showColumnStripes="0"/>
</table>
</file>

<file path=xl/tables/table7.xml><?xml version="1.0" encoding="utf-8"?>
<table xmlns="http://schemas.openxmlformats.org/spreadsheetml/2006/main" id="7" name="Definitions" displayName="Definitions" ref="A4:B16" headerRowCount="1" totalsRowCount="0" totalsRowShown="0">
  <tableColumns count="2">
    <tableColumn id="1" name="Term / control"/>
    <tableColumn id="2" name="Definition / ru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N22"/>
  <sheetViews>
    <sheetView showGridLines="0" workbookViewId="0">
      <pane ySplit="2" topLeftCell="A3" activePane="bottomLeft" state="frozen"/>
      <selection activeCell="A1" sqref="A1"/>
    </sheetView>
  </sheetViews>
  <sheetFormatPr baseColWidth="8" defaultRowHeight="15"/>
  <cols>
    <col width="27" customWidth="1" min="1" max="1"/>
    <col width="16" customWidth="1" min="2" max="2"/>
    <col width="16" customWidth="1" min="3" max="3"/>
    <col width="32" customWidth="1" min="4" max="4"/>
    <col width="16" customWidth="1" min="5" max="5"/>
    <col width="16" customWidth="1" min="6" max="6"/>
    <col width="16" customWidth="1" min="7" max="7"/>
    <col width="16" customWidth="1" min="8" max="8"/>
    <col width="18" customWidth="1" min="9" max="9"/>
    <col width="18" customWidth="1" min="10" max="10"/>
    <col width="16" customWidth="1" min="11" max="11"/>
    <col width="16" customWidth="1" min="12" max="12"/>
    <col width="16" customWidth="1" min="13" max="13"/>
    <col width="16" customWidth="1" min="14" max="14"/>
  </cols>
  <sheetData>
    <row r="1" ht="30" customHeight="1">
      <c r="A1" s="37" t="inlineStr">
        <is>
          <t>Final QA — Authoritative Signature-Management Event Database</t>
        </is>
      </c>
    </row>
    <row r="2" ht="32" customHeight="1">
      <c r="A2" s="6" t="inlineStr">
        <is>
          <t>Reconciliation cut-off: 9 Sep 2026 | Land-platform core; contextual evidence retained separately.</t>
        </is>
      </c>
    </row>
    <row r="4" ht="45" customHeight="1">
      <c r="A4" s="84" t="inlineStr">
        <is>
          <t>Conclusion unchanged but better qualified: evidence supports a broader and awakening activity base, while order counts remain uneven and materially concentrated in ULCANS and Japan MEDS.</t>
        </is>
      </c>
    </row>
    <row r="6" ht="28" customHeight="1">
      <c r="A6" s="38" t="inlineStr">
        <is>
          <t>Metric</t>
        </is>
      </c>
      <c r="B6" s="38" t="inlineStr">
        <is>
          <t>Final QA</t>
        </is>
      </c>
      <c r="D6" s="71" t="n"/>
      <c r="E6" s="90" t="n"/>
      <c r="F6" s="90" t="n"/>
      <c r="G6" s="90" t="n"/>
      <c r="H6" s="90" t="n"/>
      <c r="I6" s="90" t="n"/>
      <c r="J6" s="90" t="n"/>
      <c r="K6" s="90" t="n"/>
      <c r="L6" s="90" t="n"/>
      <c r="M6" s="90" t="n"/>
      <c r="N6" s="91" t="n"/>
    </row>
    <row r="7">
      <c r="A7" s="92" t="inlineStr">
        <is>
          <t>Retained lifecycle events</t>
        </is>
      </c>
      <c r="B7" s="92">
        <f>COUNTA('Master Events'!$A$5:$A$147)</f>
        <v/>
      </c>
      <c r="D7" s="74" t="n"/>
      <c r="E7" s="93" t="n"/>
      <c r="F7" s="93" t="n"/>
      <c r="G7" s="93" t="n"/>
      <c r="H7" s="93" t="n"/>
      <c r="I7" s="93" t="n"/>
      <c r="J7" s="93" t="n"/>
      <c r="K7" s="93" t="n"/>
      <c r="L7" s="93" t="n"/>
      <c r="M7" s="93" t="n"/>
      <c r="N7" s="94" t="n"/>
    </row>
    <row r="8">
      <c r="A8" s="92" t="inlineStr">
        <is>
          <t>Land-core events</t>
        </is>
      </c>
      <c r="B8" s="92">
        <f>COUNTIF('Master Events'!$AC$5:$AC$147,"Yes")</f>
        <v/>
      </c>
      <c r="D8" s="74" t="n"/>
      <c r="E8" s="93" t="n"/>
      <c r="F8" s="93" t="n"/>
      <c r="G8" s="93" t="n"/>
      <c r="H8" s="93" t="n"/>
      <c r="I8" s="93" t="n"/>
      <c r="J8" s="93" t="n"/>
      <c r="K8" s="93" t="n"/>
      <c r="L8" s="93" t="n"/>
      <c r="M8" s="93" t="n"/>
      <c r="N8" s="94" t="n"/>
    </row>
    <row r="9">
      <c r="A9" s="92" t="inlineStr">
        <is>
          <t>Contextual events</t>
        </is>
      </c>
      <c r="B9" s="92">
        <f>B7-B8</f>
        <v/>
      </c>
      <c r="D9" s="74" t="n"/>
      <c r="E9" s="93" t="n"/>
      <c r="F9" s="93" t="n"/>
      <c r="G9" s="93" t="n"/>
      <c r="H9" s="93" t="n"/>
      <c r="I9" s="93" t="n"/>
      <c r="J9" s="93" t="n"/>
      <c r="K9" s="93" t="n"/>
      <c r="L9" s="93" t="n"/>
      <c r="M9" s="93" t="n"/>
      <c r="N9" s="94" t="n"/>
    </row>
    <row r="10">
      <c r="A10" s="92" t="inlineStr">
        <is>
          <t>Land-core Actual Orders</t>
        </is>
      </c>
      <c r="B10" s="92">
        <f>COUNTIFS('Master Events'!$AC$5:$AC$147,"Yes",'Master Events'!$R$5:$R$147,"Yes")</f>
        <v/>
      </c>
      <c r="D10" s="74" t="n"/>
      <c r="E10" s="93" t="n"/>
      <c r="F10" s="93" t="n"/>
      <c r="G10" s="93" t="n"/>
      <c r="H10" s="93" t="n"/>
      <c r="I10" s="93" t="n"/>
      <c r="J10" s="93" t="n"/>
      <c r="K10" s="93" t="n"/>
      <c r="L10" s="93" t="n"/>
      <c r="M10" s="93" t="n"/>
      <c r="N10" s="94" t="n"/>
    </row>
    <row r="11">
      <c r="A11" s="92" t="inlineStr">
        <is>
          <t>Land-core programme families</t>
        </is>
      </c>
      <c r="B11" s="92">
        <f>SUM('Master Events'!$AV$5:$AV$147)</f>
        <v/>
      </c>
      <c r="D11" s="74" t="n"/>
      <c r="E11" s="93" t="n"/>
      <c r="F11" s="93" t="n"/>
      <c r="G11" s="93" t="n"/>
      <c r="H11" s="93" t="n"/>
      <c r="I11" s="93" t="n"/>
      <c r="J11" s="93" t="n"/>
      <c r="K11" s="93" t="n"/>
      <c r="L11" s="93" t="n"/>
      <c r="M11" s="93" t="n"/>
      <c r="N11" s="94" t="n"/>
    </row>
    <row r="12">
      <c r="A12" s="95" t="inlineStr">
        <is>
          <t>All retained programme families</t>
        </is>
      </c>
      <c r="B12" s="95" t="n">
        <v>45</v>
      </c>
      <c r="D12" s="77" t="n"/>
      <c r="E12" s="78" t="n"/>
      <c r="F12" s="78" t="n"/>
      <c r="G12" s="78" t="n"/>
      <c r="H12" s="78" t="n"/>
      <c r="I12" s="78" t="n"/>
      <c r="J12" s="79" t="n"/>
    </row>
    <row r="13" ht="28" customHeight="1">
      <c r="A13" s="71" t="n"/>
      <c r="B13" s="72" t="n"/>
      <c r="C13" s="72" t="n"/>
      <c r="D13" s="72" t="n"/>
      <c r="E13" s="72" t="n"/>
      <c r="F13" s="72" t="n"/>
      <c r="G13" s="72" t="n"/>
      <c r="H13" s="72" t="n"/>
      <c r="I13" s="72" t="n"/>
      <c r="J13" s="73" t="n"/>
    </row>
    <row r="14">
      <c r="A14" s="80" t="n"/>
      <c r="B14" s="81" t="n"/>
      <c r="C14" s="81" t="n"/>
      <c r="D14" s="81" t="n"/>
      <c r="E14" s="81" t="n"/>
      <c r="F14" s="81" t="n"/>
      <c r="G14" s="81" t="n"/>
      <c r="H14" s="81" t="n"/>
      <c r="I14" s="81" t="n"/>
      <c r="J14" s="82" t="n"/>
    </row>
    <row r="15">
      <c r="A15" s="66" t="inlineStr">
        <is>
          <t>Year</t>
        </is>
      </c>
      <c r="B15" s="66" t="inlineStr">
        <is>
          <t>Actual Orders</t>
        </is>
      </c>
      <c r="C15" s="66" t="inlineStr">
        <is>
          <t>Active Families</t>
        </is>
      </c>
      <c r="D15" s="66" t="inlineStr">
        <is>
          <t>Largest Family</t>
        </is>
      </c>
      <c r="E15" s="66" t="inlineStr">
        <is>
          <t>Largest Family Orders</t>
        </is>
      </c>
      <c r="F15" s="66" t="inlineStr">
        <is>
          <t>Largest Share</t>
        </is>
      </c>
      <c r="G15" s="66" t="inlineStr">
        <is>
          <t>ULCANS Orders</t>
        </is>
      </c>
      <c r="H15" s="66" t="inlineStr">
        <is>
          <t>Japan MEDS Orders</t>
        </is>
      </c>
      <c r="I15" s="20" t="n"/>
      <c r="J15" s="20" t="n"/>
    </row>
    <row r="16">
      <c r="A16" s="20" t="n">
        <v>2020</v>
      </c>
      <c r="B16" s="20" t="n">
        <v>14</v>
      </c>
      <c r="C16" s="20" t="n">
        <v>4</v>
      </c>
      <c r="D16" s="20" t="inlineStr">
        <is>
          <t>ULCANS-IDV-W911QY18D0210</t>
        </is>
      </c>
      <c r="E16" s="20" t="n">
        <v>13</v>
      </c>
      <c r="F16" s="96" t="n">
        <v>0.9285714286</v>
      </c>
      <c r="G16" s="20" t="n">
        <v>13</v>
      </c>
      <c r="H16" s="20" t="n">
        <v>0</v>
      </c>
      <c r="I16" s="20" t="n"/>
      <c r="J16" s="20" t="n"/>
    </row>
    <row r="17">
      <c r="A17" s="20" t="n">
        <v>2021</v>
      </c>
      <c r="B17" s="20" t="n">
        <v>5</v>
      </c>
      <c r="C17" s="20" t="n">
        <v>3</v>
      </c>
      <c r="D17" s="20" t="inlineStr">
        <is>
          <t>ULCANS-IDV-W911QY18D0210</t>
        </is>
      </c>
      <c r="E17" s="20" t="n">
        <v>4</v>
      </c>
      <c r="F17" s="96" t="n">
        <v>0.8</v>
      </c>
      <c r="G17" s="20" t="n">
        <v>4</v>
      </c>
      <c r="H17" s="20" t="n">
        <v>0</v>
      </c>
      <c r="I17" s="20" t="n"/>
      <c r="J17" s="20" t="n"/>
    </row>
    <row r="18">
      <c r="A18" s="20" t="n">
        <v>2022</v>
      </c>
      <c r="B18" s="20" t="n">
        <v>6</v>
      </c>
      <c r="C18" s="20" t="n">
        <v>5</v>
      </c>
      <c r="D18" s="20" t="inlineStr">
        <is>
          <t>ULCANS-IDV-W911QY18D0210</t>
        </is>
      </c>
      <c r="E18" s="20" t="n">
        <v>4</v>
      </c>
      <c r="F18" s="96" t="n">
        <v>0.6666666667</v>
      </c>
      <c r="G18" s="20" t="n">
        <v>4</v>
      </c>
      <c r="H18" s="20" t="n">
        <v>0</v>
      </c>
      <c r="I18" s="20" t="n"/>
      <c r="J18" s="20" t="n"/>
    </row>
    <row r="19">
      <c r="A19" s="20" t="n">
        <v>2023</v>
      </c>
      <c r="B19" s="20" t="n">
        <v>5</v>
      </c>
      <c r="C19" s="20" t="n">
        <v>5</v>
      </c>
      <c r="D19" s="20" t="inlineStr">
        <is>
          <t>NO-SAAB-MCS-4600002386</t>
        </is>
      </c>
      <c r="E19" s="20" t="n">
        <v>2</v>
      </c>
      <c r="F19" s="96" t="n">
        <v>0.4</v>
      </c>
      <c r="G19" s="20" t="n">
        <v>2</v>
      </c>
      <c r="H19" s="20" t="n">
        <v>0</v>
      </c>
      <c r="I19" s="20" t="n"/>
      <c r="J19" s="20" t="n"/>
    </row>
    <row r="20">
      <c r="A20" s="20" t="n">
        <v>2024</v>
      </c>
      <c r="B20" s="20" t="n">
        <v>13</v>
      </c>
      <c r="C20" s="20" t="n">
        <v>13</v>
      </c>
      <c r="D20" s="20" t="inlineStr">
        <is>
          <t>ULCANS-IDV-W911QY18D0210</t>
        </is>
      </c>
      <c r="E20" s="20" t="n">
        <v>3</v>
      </c>
      <c r="F20" s="96" t="n">
        <v>0.2307692308</v>
      </c>
      <c r="G20" s="20" t="n">
        <v>3</v>
      </c>
      <c r="H20" s="20" t="n">
        <v>1</v>
      </c>
      <c r="I20" s="20" t="n"/>
      <c r="J20" s="20" t="n"/>
    </row>
    <row r="21">
      <c r="A21" s="19" t="n">
        <v>2025</v>
      </c>
      <c r="B21" s="19" t="n">
        <v>18</v>
      </c>
      <c r="C21" s="19" t="n">
        <v>9</v>
      </c>
      <c r="D21" s="19" t="inlineStr">
        <is>
          <t>JP-MEDS</t>
        </is>
      </c>
      <c r="E21" s="19" t="n">
        <v>13</v>
      </c>
      <c r="F21" s="97" t="n">
        <v>0.7222222222</v>
      </c>
      <c r="G21" s="19" t="n">
        <v>3</v>
      </c>
      <c r="H21" s="19" t="n">
        <v>13</v>
      </c>
    </row>
    <row r="22">
      <c r="A22" s="19" t="n">
        <v>2026</v>
      </c>
      <c r="B22" s="19" t="n">
        <v>15</v>
      </c>
      <c r="C22" s="19" t="n">
        <v>14</v>
      </c>
      <c r="D22" s="19" t="inlineStr">
        <is>
          <t>JP-MEDS</t>
        </is>
      </c>
      <c r="E22" s="19" t="n">
        <v>4</v>
      </c>
      <c r="F22" s="97" t="n">
        <v>0.2666666667</v>
      </c>
      <c r="G22" s="19" t="n">
        <v>4</v>
      </c>
      <c r="H22" s="19" t="n">
        <v>4</v>
      </c>
    </row>
  </sheetData>
  <mergeCells count="12">
    <mergeCell ref="A1:N1"/>
    <mergeCell ref="A1:J1"/>
    <mergeCell ref="D8:N8"/>
    <mergeCell ref="D6:N6"/>
    <mergeCell ref="A4:N4"/>
    <mergeCell ref="D7:N7"/>
    <mergeCell ref="A2:N2"/>
    <mergeCell ref="D11:N11"/>
    <mergeCell ref="D10:N10"/>
    <mergeCell ref="A4:J4"/>
    <mergeCell ref="A2:J2"/>
    <mergeCell ref="D9:N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W200"/>
  <sheetViews>
    <sheetView showGridLines="0" workbookViewId="0">
      <pane xSplit="2" ySplit="4" topLeftCell="C5" activePane="bottomRight" state="frozen"/>
      <selection activeCell="A1" sqref="A1"/>
    </sheetView>
  </sheetViews>
  <sheetFormatPr baseColWidth="8" defaultRowHeight="15"/>
  <cols>
    <col width="12" customWidth="1" min="1" max="1"/>
    <col width="28" customWidth="1" min="2" max="2"/>
    <col width="12" customWidth="1" min="3" max="3"/>
    <col width="12"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5" customWidth="1" min="12" max="12"/>
    <col width="25" customWidth="1" min="13" max="13"/>
    <col width="25" customWidth="1" min="14" max="14"/>
    <col width="25" customWidth="1" min="15" max="15"/>
    <col width="25" customWidth="1" min="16" max="16"/>
    <col width="25"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22" customWidth="1" min="26" max="26"/>
    <col width="22" customWidth="1" min="27" max="27"/>
    <col width="22" customWidth="1" min="28" max="28"/>
    <col width="22" customWidth="1" min="29" max="29"/>
    <col width="22" customWidth="1" min="30" max="30"/>
    <col width="42" customWidth="1" min="31" max="31"/>
    <col width="20" customWidth="1" min="32" max="32"/>
    <col width="20" customWidth="1" min="33" max="33"/>
    <col width="20" customWidth="1" min="34" max="34"/>
    <col width="20"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s>
  <sheetData>
    <row r="1" ht="28" customHeight="1">
      <c r="A1" s="41" t="inlineStr">
        <is>
          <t>Final Authoritative Master Event Table — QA Passed</t>
        </is>
      </c>
    </row>
    <row r="2" ht="32" customHeight="1">
      <c r="A2" s="40" t="inlineStr">
        <is>
          <t>143 retained lifecycle events; 115 land-core events; 76 land-core Actual Orders. Final QA cut-off: 9 Sep 2026.</t>
        </is>
      </c>
    </row>
    <row r="4" ht="28" customHeight="1">
      <c r="A4" s="39" t="inlineStr">
        <is>
          <t>Event ID</t>
        </is>
      </c>
      <c r="B4" s="39" t="inlineStr">
        <is>
          <t>Programme / Procurement Family ID</t>
        </is>
      </c>
      <c r="C4" s="39" t="inlineStr">
        <is>
          <t>Date</t>
        </is>
      </c>
      <c r="D4" s="39" t="inlineStr">
        <is>
          <t>Year</t>
        </is>
      </c>
      <c r="E4" s="39" t="inlineStr">
        <is>
          <t>Country</t>
        </is>
      </c>
      <c r="F4" s="39" t="inlineStr">
        <is>
          <t>Buyer / Contracting Authority</t>
        </is>
      </c>
      <c r="G4" s="39" t="inlineStr">
        <is>
          <t>Canonical Buyer</t>
        </is>
      </c>
      <c r="H4" s="39" t="inlineStr">
        <is>
          <t>Military Branch</t>
        </is>
      </c>
      <c r="I4" s="39" t="inlineStr">
        <is>
          <t>Supplier</t>
        </is>
      </c>
      <c r="J4" s="39" t="inlineStr">
        <is>
          <t>Canonical Supplier</t>
        </is>
      </c>
      <c r="K4" s="39" t="inlineStr">
        <is>
          <t>Supplier Country</t>
        </is>
      </c>
      <c r="L4" s="39" t="inlineStr">
        <is>
          <t>Programme / Requirement</t>
        </is>
      </c>
      <c r="M4" s="39" t="inlineStr">
        <is>
          <t>Platform</t>
        </is>
      </c>
      <c r="N4" s="39" t="inlineStr">
        <is>
          <t>Product / Solution</t>
        </is>
      </c>
      <c r="O4" s="39" t="inlineStr">
        <is>
          <t>Signature Domain</t>
        </is>
      </c>
      <c r="P4" s="39" t="inlineStr">
        <is>
          <t>Event Type</t>
        </is>
      </c>
      <c r="Q4" s="39" t="inlineStr">
        <is>
          <t>Procurement Stage</t>
        </is>
      </c>
      <c r="R4" s="39" t="inlineStr">
        <is>
          <t>Actual Order?</t>
        </is>
      </c>
      <c r="S4" s="39" t="inlineStr">
        <is>
          <t>Quantity</t>
        </is>
      </c>
      <c r="T4" s="39" t="inlineStr">
        <is>
          <t>Quantity Unit</t>
        </is>
      </c>
      <c r="U4" s="39" t="inlineStr">
        <is>
          <t>Quantity Basis</t>
        </is>
      </c>
      <c r="V4" s="39" t="inlineStr">
        <is>
          <t>Monetary Value</t>
        </is>
      </c>
      <c r="W4" s="39" t="inlineStr">
        <is>
          <t>Currency</t>
        </is>
      </c>
      <c r="X4" s="39" t="inlineStr">
        <is>
          <t>Value Basis</t>
        </is>
      </c>
      <c r="Y4" s="39" t="inlineStr">
        <is>
          <t>Framework / Ceiling / Obligated distinction</t>
        </is>
      </c>
      <c r="Z4" s="39" t="inlineStr">
        <is>
          <t>Repeat / Follow-on?</t>
        </is>
      </c>
      <c r="AA4" s="39" t="inlineStr">
        <is>
          <t>Production vs Development / Validation</t>
        </is>
      </c>
      <c r="AB4" s="39" t="inlineStr">
        <is>
          <t>Operating Domain</t>
        </is>
      </c>
      <c r="AC4" s="39" t="inlineStr">
        <is>
          <t>Core Metric Inclusion?</t>
        </is>
      </c>
      <c r="AD4" s="39" t="inlineStr">
        <is>
          <t>Exclusion Reason</t>
        </is>
      </c>
      <c r="AE4" s="39" t="inlineStr">
        <is>
          <t>Source URL</t>
        </is>
      </c>
      <c r="AF4" s="39" t="inlineStr">
        <is>
          <t>Source Type</t>
        </is>
      </c>
      <c r="AG4" s="39" t="inlineStr">
        <is>
          <t>Evidence Quality</t>
        </is>
      </c>
      <c r="AH4" s="39" t="inlineStr">
        <is>
          <t>Confidence</t>
        </is>
      </c>
      <c r="AI4" s="39" t="inlineStr">
        <is>
          <t>Notes / Caveats</t>
        </is>
      </c>
      <c r="AJ4" s="39" t="inlineStr">
        <is>
          <t>Existing in company-based?</t>
        </is>
      </c>
      <c r="AK4" s="39" t="inlineStr">
        <is>
          <t>Existing in event-based?</t>
        </is>
      </c>
      <c r="AL4" s="39" t="inlineStr">
        <is>
          <t>Existing only in company-master enrichment?</t>
        </is>
      </c>
      <c r="AM4" s="39" t="inlineStr">
        <is>
          <t>Newly discovered?</t>
        </is>
      </c>
      <c r="AN4" s="39" t="inlineStr">
        <is>
          <t>Duplicate of existing event?</t>
        </is>
      </c>
      <c r="AO4" s="39" t="inlineStr">
        <is>
          <t>Same programme family as another event?</t>
        </is>
      </c>
      <c r="AP4" s="39" t="inlineStr">
        <is>
          <t>Inclusion decision</t>
        </is>
      </c>
      <c r="AQ4" s="39" t="inlineStr">
        <is>
          <t>First family-year flag</t>
        </is>
      </c>
      <c r="AR4" s="39" t="inlineStr">
        <is>
          <t>First ordered-family-year flag</t>
        </is>
      </c>
      <c r="AS4" s="39" t="inlineStr">
        <is>
          <t>First supplier-year flag</t>
        </is>
      </c>
      <c r="AT4" s="39" t="inlineStr">
        <is>
          <t>First buyer-year flag</t>
        </is>
      </c>
      <c r="AU4" s="39" t="inlineStr">
        <is>
          <t>First country-year flag</t>
        </is>
      </c>
      <c r="AV4" s="39" t="inlineStr">
        <is>
          <t>Programme first observed flag</t>
        </is>
      </c>
      <c r="AW4" s="39" t="inlineStr">
        <is>
          <t>Repeat-order / call-off flag</t>
        </is>
      </c>
    </row>
    <row r="5">
      <c r="A5" s="20" t="inlineStr">
        <is>
          <t>SM-0001</t>
        </is>
      </c>
      <c r="B5" s="20" t="inlineStr">
        <is>
          <t>ULCANS-IDV-W911QY18D0210</t>
        </is>
      </c>
      <c r="C5" s="98" t="inlineStr">
        <is>
          <t>2020-02-07</t>
        </is>
      </c>
      <c r="D5" s="92" t="n">
        <v>2020</v>
      </c>
      <c r="E5" s="20" t="inlineStr">
        <is>
          <t>United States</t>
        </is>
      </c>
      <c r="F5" s="20" t="inlineStr">
        <is>
          <t>ACC Aberdeen Proving Ground (Natick) / PEO CS&amp;CSS, U.S. Army</t>
        </is>
      </c>
      <c r="G5" s="20" t="inlineStr">
        <is>
          <t>U.S. Army</t>
        </is>
      </c>
      <c r="H5" s="20" t="inlineStr">
        <is>
          <t>Army / Land</t>
        </is>
      </c>
      <c r="I5" s="20" t="inlineStr">
        <is>
          <t>Fibrotex USA Inc. / Fibrotex Technologies</t>
        </is>
      </c>
      <c r="J5" s="20" t="inlineStr">
        <is>
          <t>Fibrotex</t>
        </is>
      </c>
      <c r="K5" s="20" t="inlineStr">
        <is>
          <t>Israel / USA</t>
        </is>
      </c>
      <c r="L5" s="20" t="inlineStr">
        <is>
          <t>W911QY20F0114 — ULCANS delivery order under W911QY18D0210</t>
        </is>
      </c>
      <c r="M5" s="20" t="inlineStr">
        <is>
          <t>Nets / Covers</t>
        </is>
      </c>
      <c r="N5" s="20" t="inlineStr">
        <is>
          <t>Ultra-Lightweight Camouflage Net System (ULCANS)</t>
        </is>
      </c>
      <c r="O5" s="20" t="inlineStr">
        <is>
          <t>Multispectral</t>
        </is>
      </c>
      <c r="P5" s="20" t="inlineStr">
        <is>
          <t>Order</t>
        </is>
      </c>
      <c r="Q5" s="20" t="n"/>
      <c r="R5" s="20" t="inlineStr">
        <is>
          <t>Yes</t>
        </is>
      </c>
      <c r="S5" s="99" t="n"/>
      <c r="T5" s="20" t="inlineStr">
        <is>
          <t>Unknown</t>
        </is>
      </c>
      <c r="U5" s="20" t="n"/>
      <c r="V5" s="100" t="inlineStr">
        <is>
          <t>72600.0</t>
        </is>
      </c>
      <c r="W5" s="20" t="inlineStr">
        <is>
          <t>USD</t>
        </is>
      </c>
      <c r="X5" s="20" t="n"/>
      <c r="Y5" s="20" t="inlineStr">
        <is>
          <t>Obligated / signed if disclosed</t>
        </is>
      </c>
      <c r="Z5" s="20" t="inlineStr">
        <is>
          <t>No</t>
        </is>
      </c>
      <c r="AA5" s="20" t="inlineStr">
        <is>
          <t>Production Procurement</t>
        </is>
      </c>
      <c r="AB5" s="20" t="inlineStr">
        <is>
          <t>Land</t>
        </is>
      </c>
      <c r="AC5" s="20" t="inlineStr">
        <is>
          <t>Yes</t>
        </is>
      </c>
      <c r="AD5" s="20" t="n"/>
      <c r="AE5" s="20" t="inlineStr">
        <is>
          <t>https://www.federalcompass.com/fed-contract-award/W911QY18D0210</t>
        </is>
      </c>
      <c r="AF5" s="20" t="inlineStr">
        <is>
          <t>Other credible third-party source (FPDS-derived task-order history)</t>
        </is>
      </c>
      <c r="AG5" s="20" t="inlineStr">
        <is>
          <t>Secondary / aggregator</t>
        </is>
      </c>
      <c r="AH5" s="20" t="inlineStr">
        <is>
          <t>Medium</t>
        </is>
      </c>
      <c r="AI5" s="20" t="inlineStr">
        <is>
          <t>Distinct committed delivery order W911QY20F0114 shown in the cited task-order history. Parent IDIQ ceiling is not counted as sales.</t>
        </is>
      </c>
      <c r="AJ5" s="20" t="inlineStr">
        <is>
          <t>Yes</t>
        </is>
      </c>
      <c r="AK5" s="20" t="inlineStr">
        <is>
          <t>No</t>
        </is>
      </c>
      <c r="AL5" s="20" t="inlineStr">
        <is>
          <t>No</t>
        </is>
      </c>
      <c r="AM5" s="20" t="inlineStr">
        <is>
          <t>No</t>
        </is>
      </c>
      <c r="AN5" s="20" t="inlineStr">
        <is>
          <t>No</t>
        </is>
      </c>
      <c r="AO5" s="20" t="inlineStr">
        <is>
          <t>Yes</t>
        </is>
      </c>
      <c r="AP5" s="20" t="inlineStr">
        <is>
          <t>Included in Land core</t>
        </is>
      </c>
      <c r="AQ5" s="92" t="n">
        <v>1</v>
      </c>
      <c r="AR5" s="92" t="n">
        <v>1</v>
      </c>
      <c r="AS5" s="92" t="n">
        <v>1</v>
      </c>
      <c r="AT5" s="92" t="n">
        <v>1</v>
      </c>
      <c r="AU5" s="92" t="n">
        <v>1</v>
      </c>
      <c r="AV5" s="92" t="n">
        <v>1</v>
      </c>
      <c r="AW5" s="92" t="n">
        <v>0</v>
      </c>
    </row>
    <row r="6">
      <c r="A6" s="20" t="inlineStr">
        <is>
          <t>SM-0002</t>
        </is>
      </c>
      <c r="B6" s="20" t="inlineStr">
        <is>
          <t>AMET-MESH-2020</t>
        </is>
      </c>
      <c r="C6" s="98" t="inlineStr">
        <is>
          <t>2020-02-15</t>
        </is>
      </c>
      <c r="D6" s="92" t="n">
        <v>2020</v>
      </c>
      <c r="E6" s="20" t="inlineStr">
        <is>
          <t>United States</t>
        </is>
      </c>
      <c r="F6" s="20" t="inlineStr">
        <is>
          <t>Naval Research Laboratory / ONR</t>
        </is>
      </c>
      <c r="G6" s="20" t="inlineStr">
        <is>
          <t>U.S. NRL / ONR</t>
        </is>
      </c>
      <c r="H6" s="20" t="inlineStr">
        <is>
          <t>Navy</t>
        </is>
      </c>
      <c r="I6" s="20" t="inlineStr">
        <is>
          <t>Ametrine Technologies</t>
        </is>
      </c>
      <c r="J6" s="20" t="inlineStr">
        <is>
          <t>Ametrine Technologies</t>
        </is>
      </c>
      <c r="K6" s="20" t="inlineStr">
        <is>
          <t>USA</t>
        </is>
      </c>
      <c r="L6" s="20" t="inlineStr">
        <is>
          <t>N0017320P0084</t>
        </is>
      </c>
      <c r="M6" s="20" t="inlineStr">
        <is>
          <t>Expeditionary/static</t>
        </is>
      </c>
      <c r="N6" s="20" t="inlineStr">
        <is>
          <t>Multispectral mesh</t>
        </is>
      </c>
      <c r="O6" s="20" t="inlineStr">
        <is>
          <t>Multispectral</t>
        </is>
      </c>
      <c r="P6" s="20" t="inlineStr">
        <is>
          <t>Funded prototype procurement</t>
        </is>
      </c>
      <c r="Q6" s="20" t="inlineStr">
        <is>
          <t>Completion</t>
        </is>
      </c>
      <c r="R6" s="20" t="inlineStr">
        <is>
          <t>No</t>
        </is>
      </c>
      <c r="S6" s="99" t="n"/>
      <c r="T6" s="20" t="inlineStr">
        <is>
          <t>Unknown</t>
        </is>
      </c>
      <c r="U6" s="20" t="inlineStr">
        <is>
          <t>Unknown</t>
        </is>
      </c>
      <c r="V6" s="100" t="inlineStr">
        <is>
          <t>168800</t>
        </is>
      </c>
      <c r="W6" s="20" t="inlineStr">
        <is>
          <t>USD</t>
        </is>
      </c>
      <c r="X6" s="20" t="inlineStr">
        <is>
          <t>Reported award value</t>
        </is>
      </c>
      <c r="Y6" s="20" t="inlineStr">
        <is>
          <t>Obligated / signed if disclosed</t>
        </is>
      </c>
      <c r="Z6" s="20" t="inlineStr">
        <is>
          <t>No</t>
        </is>
      </c>
      <c r="AA6" s="20" t="inlineStr">
        <is>
          <t>Development / Validation</t>
        </is>
      </c>
      <c r="AB6" s="20" t="inlineStr">
        <is>
          <t>Other / Contextual</t>
        </is>
      </c>
      <c r="AC6" s="20" t="inlineStr">
        <is>
          <t>No</t>
        </is>
      </c>
      <c r="AD6" s="20" t="inlineStr">
        <is>
          <t>End use / platform not publicly established; NRL/ONR buyer alone does not establish maritime or land domain</t>
        </is>
      </c>
      <c r="AE6" s="20" t="inlineStr">
        <is>
          <t>https://www.federalcompass.com/fed-contract-award/N0017320P0084</t>
        </is>
      </c>
      <c r="AF6" s="20" t="inlineStr">
        <is>
          <t>Federal award database mirror</t>
        </is>
      </c>
      <c r="AG6" s="20" t="inlineStr">
        <is>
          <t>Supplier / prime announcement</t>
        </is>
      </c>
      <c r="AH6" s="20" t="inlineStr">
        <is>
          <t>Medium</t>
        </is>
      </c>
      <c r="AI6" s="20" t="inlineStr">
        <is>
          <t>NRL/ONR context; treated as development, not production procurement.</t>
        </is>
      </c>
      <c r="AJ6" s="20" t="inlineStr">
        <is>
          <t>No</t>
        </is>
      </c>
      <c r="AK6" s="20" t="inlineStr">
        <is>
          <t>Yes</t>
        </is>
      </c>
      <c r="AL6" s="20" t="inlineStr">
        <is>
          <t>No</t>
        </is>
      </c>
      <c r="AM6" s="20" t="inlineStr">
        <is>
          <t>No</t>
        </is>
      </c>
      <c r="AN6" s="20" t="inlineStr">
        <is>
          <t>No</t>
        </is>
      </c>
      <c r="AO6" s="20" t="inlineStr">
        <is>
          <t>No</t>
        </is>
      </c>
      <c r="AP6" s="20" t="inlineStr">
        <is>
          <t>Retained as contextual; excluded from Land core</t>
        </is>
      </c>
      <c r="AQ6" s="92" t="n">
        <v>0</v>
      </c>
      <c r="AR6" s="92" t="n">
        <v>0</v>
      </c>
      <c r="AS6" s="92" t="n">
        <v>0</v>
      </c>
      <c r="AT6" s="92" t="n">
        <v>0</v>
      </c>
      <c r="AU6" s="92" t="n">
        <v>0</v>
      </c>
      <c r="AV6" s="92" t="n">
        <v>0</v>
      </c>
      <c r="AW6" s="92" t="n">
        <v>0</v>
      </c>
    </row>
    <row r="7">
      <c r="A7" s="20" t="inlineStr">
        <is>
          <t>SM-0003</t>
        </is>
      </c>
      <c r="B7" s="20" t="inlineStr">
        <is>
          <t>ULCANS-IDV-W911QY18D0210</t>
        </is>
      </c>
      <c r="C7" s="98" t="inlineStr">
        <is>
          <t>2020-03-27</t>
        </is>
      </c>
      <c r="D7" s="92" t="n">
        <v>2020</v>
      </c>
      <c r="E7" s="20" t="inlineStr">
        <is>
          <t>United States</t>
        </is>
      </c>
      <c r="F7" s="20" t="inlineStr">
        <is>
          <t>ACC Aberdeen Proving Ground (Natick) / PEO CS&amp;CSS, U.S. Army</t>
        </is>
      </c>
      <c r="G7" s="20" t="inlineStr">
        <is>
          <t>U.S. Army</t>
        </is>
      </c>
      <c r="H7" s="20" t="inlineStr">
        <is>
          <t>Army / Land</t>
        </is>
      </c>
      <c r="I7" s="20" t="inlineStr">
        <is>
          <t>Fibrotex USA Inc. / Fibrotex Technologies</t>
        </is>
      </c>
      <c r="J7" s="20" t="inlineStr">
        <is>
          <t>Fibrotex</t>
        </is>
      </c>
      <c r="K7" s="20" t="inlineStr">
        <is>
          <t>Israel / USA</t>
        </is>
      </c>
      <c r="L7" s="20" t="inlineStr">
        <is>
          <t>W911QY20F0174 — ULCANS delivery order under W911QY18D0210</t>
        </is>
      </c>
      <c r="M7" s="20" t="inlineStr">
        <is>
          <t>Nets / Covers</t>
        </is>
      </c>
      <c r="N7" s="20" t="inlineStr">
        <is>
          <t>Ultra-Lightweight Camouflage Net System (ULCANS)</t>
        </is>
      </c>
      <c r="O7" s="20" t="inlineStr">
        <is>
          <t>Multispectral</t>
        </is>
      </c>
      <c r="P7" s="20" t="inlineStr">
        <is>
          <t>Order</t>
        </is>
      </c>
      <c r="Q7" s="20" t="n"/>
      <c r="R7" s="20" t="inlineStr">
        <is>
          <t>Yes</t>
        </is>
      </c>
      <c r="S7" s="99" t="n"/>
      <c r="T7" s="20" t="inlineStr">
        <is>
          <t>Unknown</t>
        </is>
      </c>
      <c r="U7" s="20" t="n"/>
      <c r="V7" s="100" t="inlineStr">
        <is>
          <t>5000000.0</t>
        </is>
      </c>
      <c r="W7" s="20" t="inlineStr">
        <is>
          <t>USD</t>
        </is>
      </c>
      <c r="X7" s="20" t="n"/>
      <c r="Y7" s="20" t="inlineStr">
        <is>
          <t>Obligated / signed if disclosed</t>
        </is>
      </c>
      <c r="Z7" s="20" t="inlineStr">
        <is>
          <t>Yes</t>
        </is>
      </c>
      <c r="AA7" s="20" t="inlineStr">
        <is>
          <t>Production Procurement</t>
        </is>
      </c>
      <c r="AB7" s="20" t="inlineStr">
        <is>
          <t>Land</t>
        </is>
      </c>
      <c r="AC7" s="20" t="inlineStr">
        <is>
          <t>Yes</t>
        </is>
      </c>
      <c r="AD7" s="20" t="n"/>
      <c r="AE7" s="20" t="inlineStr">
        <is>
          <t>https://www.federalcompass.com/fed-contract-award/W911QY18D0210</t>
        </is>
      </c>
      <c r="AF7" s="20" t="inlineStr">
        <is>
          <t>Other credible third-party source (FPDS-derived task-order history)</t>
        </is>
      </c>
      <c r="AG7" s="20" t="inlineStr">
        <is>
          <t>Secondary / aggregator</t>
        </is>
      </c>
      <c r="AH7" s="20" t="inlineStr">
        <is>
          <t>Medium</t>
        </is>
      </c>
      <c r="AI7" s="20" t="inlineStr">
        <is>
          <t>Distinct committed delivery order W911QY20F0174 shown in the cited task-order history. Parent IDIQ ceiling is not counted as sales.</t>
        </is>
      </c>
      <c r="AJ7" s="20" t="inlineStr">
        <is>
          <t>Yes</t>
        </is>
      </c>
      <c r="AK7" s="20" t="inlineStr">
        <is>
          <t>Yes</t>
        </is>
      </c>
      <c r="AL7" s="20" t="inlineStr">
        <is>
          <t>No</t>
        </is>
      </c>
      <c r="AM7" s="20" t="inlineStr">
        <is>
          <t>No</t>
        </is>
      </c>
      <c r="AN7" s="20" t="inlineStr">
        <is>
          <t>No</t>
        </is>
      </c>
      <c r="AO7" s="20" t="inlineStr">
        <is>
          <t>Yes</t>
        </is>
      </c>
      <c r="AP7" s="20" t="inlineStr">
        <is>
          <t>Included in Land core</t>
        </is>
      </c>
      <c r="AQ7" s="92" t="n">
        <v>0</v>
      </c>
      <c r="AR7" s="92" t="n">
        <v>0</v>
      </c>
      <c r="AS7" s="92" t="n">
        <v>0</v>
      </c>
      <c r="AT7" s="92" t="n">
        <v>0</v>
      </c>
      <c r="AU7" s="92" t="n">
        <v>0</v>
      </c>
      <c r="AV7" s="92" t="n">
        <v>0</v>
      </c>
      <c r="AW7" s="92" t="n">
        <v>1</v>
      </c>
    </row>
    <row r="8">
      <c r="A8" s="20" t="inlineStr">
        <is>
          <t>SM-0004</t>
        </is>
      </c>
      <c r="B8" s="20" t="inlineStr">
        <is>
          <t>ULCANS-IDV-W911QY18D0210</t>
        </is>
      </c>
      <c r="C8" s="98" t="inlineStr">
        <is>
          <t>2020-03-27</t>
        </is>
      </c>
      <c r="D8" s="92" t="n">
        <v>2020</v>
      </c>
      <c r="E8" s="20" t="inlineStr">
        <is>
          <t>United States</t>
        </is>
      </c>
      <c r="F8" s="20" t="inlineStr">
        <is>
          <t>ACC Aberdeen Proving Ground (Natick) / PEO CS&amp;CSS, U.S. Army</t>
        </is>
      </c>
      <c r="G8" s="20" t="inlineStr">
        <is>
          <t>U.S. Army</t>
        </is>
      </c>
      <c r="H8" s="20" t="inlineStr">
        <is>
          <t>Army / Land</t>
        </is>
      </c>
      <c r="I8" s="20" t="inlineStr">
        <is>
          <t>Fibrotex USA Inc. / Fibrotex Technologies</t>
        </is>
      </c>
      <c r="J8" s="20" t="inlineStr">
        <is>
          <t>Fibrotex</t>
        </is>
      </c>
      <c r="K8" s="20" t="inlineStr">
        <is>
          <t>Israel / USA</t>
        </is>
      </c>
      <c r="L8" s="20" t="inlineStr">
        <is>
          <t>W911QY20F0175 — ULCANS delivery order under W911QY18D0210</t>
        </is>
      </c>
      <c r="M8" s="20" t="inlineStr">
        <is>
          <t>Nets / Covers</t>
        </is>
      </c>
      <c r="N8" s="20" t="inlineStr">
        <is>
          <t>Ultra-Lightweight Camouflage Net System (ULCANS)</t>
        </is>
      </c>
      <c r="O8" s="20" t="inlineStr">
        <is>
          <t>Multispectral</t>
        </is>
      </c>
      <c r="P8" s="20" t="inlineStr">
        <is>
          <t>Order</t>
        </is>
      </c>
      <c r="Q8" s="20" t="n"/>
      <c r="R8" s="20" t="inlineStr">
        <is>
          <t>Yes</t>
        </is>
      </c>
      <c r="S8" s="99" t="n"/>
      <c r="T8" s="20" t="inlineStr">
        <is>
          <t>Unknown</t>
        </is>
      </c>
      <c r="U8" s="20" t="n"/>
      <c r="V8" s="100" t="inlineStr">
        <is>
          <t>19900000.0</t>
        </is>
      </c>
      <c r="W8" s="20" t="inlineStr">
        <is>
          <t>USD</t>
        </is>
      </c>
      <c r="X8" s="20" t="n"/>
      <c r="Y8" s="20" t="inlineStr">
        <is>
          <t>Obligated / signed if disclosed</t>
        </is>
      </c>
      <c r="Z8" s="20" t="inlineStr">
        <is>
          <t>Yes</t>
        </is>
      </c>
      <c r="AA8" s="20" t="inlineStr">
        <is>
          <t>Production Procurement</t>
        </is>
      </c>
      <c r="AB8" s="20" t="inlineStr">
        <is>
          <t>Land</t>
        </is>
      </c>
      <c r="AC8" s="20" t="inlineStr">
        <is>
          <t>Yes</t>
        </is>
      </c>
      <c r="AD8" s="20" t="n"/>
      <c r="AE8" s="20" t="inlineStr">
        <is>
          <t>https://www.federalcompass.com/fed-contract-award/W911QY18D0210</t>
        </is>
      </c>
      <c r="AF8" s="20" t="inlineStr">
        <is>
          <t>Other credible third-party source (FPDS-derived task-order history)</t>
        </is>
      </c>
      <c r="AG8" s="20" t="inlineStr">
        <is>
          <t>Secondary / aggregator</t>
        </is>
      </c>
      <c r="AH8" s="20" t="inlineStr">
        <is>
          <t>Medium</t>
        </is>
      </c>
      <c r="AI8" s="20" t="inlineStr">
        <is>
          <t>Distinct committed delivery order W911QY20F0175 shown in the cited task-order history. Parent IDIQ ceiling is not counted as sales.</t>
        </is>
      </c>
      <c r="AJ8" s="20" t="inlineStr">
        <is>
          <t>Yes</t>
        </is>
      </c>
      <c r="AK8" s="20" t="inlineStr">
        <is>
          <t>No</t>
        </is>
      </c>
      <c r="AL8" s="20" t="inlineStr">
        <is>
          <t>No</t>
        </is>
      </c>
      <c r="AM8" s="20" t="inlineStr">
        <is>
          <t>No</t>
        </is>
      </c>
      <c r="AN8" s="20" t="inlineStr">
        <is>
          <t>No</t>
        </is>
      </c>
      <c r="AO8" s="20" t="inlineStr">
        <is>
          <t>Yes</t>
        </is>
      </c>
      <c r="AP8" s="20" t="inlineStr">
        <is>
          <t>Included in Land core</t>
        </is>
      </c>
      <c r="AQ8" s="92" t="n">
        <v>0</v>
      </c>
      <c r="AR8" s="92" t="n">
        <v>0</v>
      </c>
      <c r="AS8" s="92" t="n">
        <v>0</v>
      </c>
      <c r="AT8" s="92" t="n">
        <v>0</v>
      </c>
      <c r="AU8" s="92" t="n">
        <v>0</v>
      </c>
      <c r="AV8" s="92" t="n">
        <v>0</v>
      </c>
      <c r="AW8" s="92" t="n">
        <v>1</v>
      </c>
    </row>
    <row r="9">
      <c r="A9" s="20" t="inlineStr">
        <is>
          <t>SM-0005</t>
        </is>
      </c>
      <c r="B9" s="20" t="inlineStr">
        <is>
          <t>ULCANS-IDV-W911QY18D0210</t>
        </is>
      </c>
      <c r="C9" s="98" t="inlineStr">
        <is>
          <t>2020-06-09</t>
        </is>
      </c>
      <c r="D9" s="92" t="n">
        <v>2020</v>
      </c>
      <c r="E9" s="20" t="inlineStr">
        <is>
          <t>United States</t>
        </is>
      </c>
      <c r="F9" s="20" t="inlineStr">
        <is>
          <t>ACC Aberdeen Proving Ground (Natick) / PEO CS&amp;CSS, U.S. Army</t>
        </is>
      </c>
      <c r="G9" s="20" t="inlineStr">
        <is>
          <t>U.S. Army</t>
        </is>
      </c>
      <c r="H9" s="20" t="inlineStr">
        <is>
          <t>Army / Land</t>
        </is>
      </c>
      <c r="I9" s="20" t="inlineStr">
        <is>
          <t>Fibrotex USA Inc. / Fibrotex Technologies</t>
        </is>
      </c>
      <c r="J9" s="20" t="inlineStr">
        <is>
          <t>Fibrotex</t>
        </is>
      </c>
      <c r="K9" s="20" t="inlineStr">
        <is>
          <t>Israel / USA</t>
        </is>
      </c>
      <c r="L9" s="20" t="inlineStr">
        <is>
          <t>W911QY20F0273 — ULCANS delivery order under W911QY18D0210</t>
        </is>
      </c>
      <c r="M9" s="20" t="inlineStr">
        <is>
          <t>Nets / Covers</t>
        </is>
      </c>
      <c r="N9" s="20" t="inlineStr">
        <is>
          <t>Ultra-Lightweight Camouflage Net System (ULCANS)</t>
        </is>
      </c>
      <c r="O9" s="20" t="inlineStr">
        <is>
          <t>Multispectral</t>
        </is>
      </c>
      <c r="P9" s="20" t="inlineStr">
        <is>
          <t>Order</t>
        </is>
      </c>
      <c r="Q9" s="20" t="n"/>
      <c r="R9" s="20" t="inlineStr">
        <is>
          <t>Yes</t>
        </is>
      </c>
      <c r="S9" s="99" t="n"/>
      <c r="T9" s="20" t="inlineStr">
        <is>
          <t>Unknown</t>
        </is>
      </c>
      <c r="U9" s="20" t="n"/>
      <c r="V9" s="100" t="inlineStr">
        <is>
          <t>52500.0</t>
        </is>
      </c>
      <c r="W9" s="20" t="inlineStr">
        <is>
          <t>USD</t>
        </is>
      </c>
      <c r="X9" s="20" t="n"/>
      <c r="Y9" s="20" t="inlineStr">
        <is>
          <t>Obligated / signed if disclosed</t>
        </is>
      </c>
      <c r="Z9" s="20" t="inlineStr">
        <is>
          <t>Yes</t>
        </is>
      </c>
      <c r="AA9" s="20" t="inlineStr">
        <is>
          <t>Production Procurement</t>
        </is>
      </c>
      <c r="AB9" s="20" t="inlineStr">
        <is>
          <t>Land</t>
        </is>
      </c>
      <c r="AC9" s="20" t="inlineStr">
        <is>
          <t>Yes</t>
        </is>
      </c>
      <c r="AD9" s="20" t="n"/>
      <c r="AE9" s="20" t="inlineStr">
        <is>
          <t>https://www.federalcompass.com/fed-contract-award/W911QY18D0210</t>
        </is>
      </c>
      <c r="AF9" s="20" t="inlineStr">
        <is>
          <t>Other credible third-party source (FPDS-derived task-order history)</t>
        </is>
      </c>
      <c r="AG9" s="20" t="inlineStr">
        <is>
          <t>Secondary / aggregator</t>
        </is>
      </c>
      <c r="AH9" s="20" t="inlineStr">
        <is>
          <t>Medium</t>
        </is>
      </c>
      <c r="AI9" s="20" t="inlineStr">
        <is>
          <t>Distinct committed delivery order W911QY20F0273 shown in the cited task-order history. Parent IDIQ ceiling is not counted as sales.</t>
        </is>
      </c>
      <c r="AJ9" s="20" t="inlineStr">
        <is>
          <t>Yes</t>
        </is>
      </c>
      <c r="AK9" s="20" t="inlineStr">
        <is>
          <t>No</t>
        </is>
      </c>
      <c r="AL9" s="20" t="inlineStr">
        <is>
          <t>No</t>
        </is>
      </c>
      <c r="AM9" s="20" t="inlineStr">
        <is>
          <t>No</t>
        </is>
      </c>
      <c r="AN9" s="20" t="inlineStr">
        <is>
          <t>No</t>
        </is>
      </c>
      <c r="AO9" s="20" t="inlineStr">
        <is>
          <t>Yes</t>
        </is>
      </c>
      <c r="AP9" s="20" t="inlineStr">
        <is>
          <t>Included in Land core</t>
        </is>
      </c>
      <c r="AQ9" s="92" t="n">
        <v>0</v>
      </c>
      <c r="AR9" s="92" t="n">
        <v>0</v>
      </c>
      <c r="AS9" s="92" t="n">
        <v>0</v>
      </c>
      <c r="AT9" s="92" t="n">
        <v>0</v>
      </c>
      <c r="AU9" s="92" t="n">
        <v>0</v>
      </c>
      <c r="AV9" s="92" t="n">
        <v>0</v>
      </c>
      <c r="AW9" s="92" t="n">
        <v>1</v>
      </c>
    </row>
    <row r="10">
      <c r="A10" s="20" t="inlineStr">
        <is>
          <t>SM-0006</t>
        </is>
      </c>
      <c r="B10" s="20" t="inlineStr">
        <is>
          <t>ULCANS-IDV-W911QY18D0210</t>
        </is>
      </c>
      <c r="C10" s="98" t="inlineStr">
        <is>
          <t>2020-09-09</t>
        </is>
      </c>
      <c r="D10" s="92" t="n">
        <v>2020</v>
      </c>
      <c r="E10" s="20" t="inlineStr">
        <is>
          <t>United States</t>
        </is>
      </c>
      <c r="F10" s="20" t="inlineStr">
        <is>
          <t>ACC Aberdeen Proving Ground (Natick) / PEO CS&amp;CSS, U.S. Army</t>
        </is>
      </c>
      <c r="G10" s="20" t="inlineStr">
        <is>
          <t>U.S. Army</t>
        </is>
      </c>
      <c r="H10" s="20" t="inlineStr">
        <is>
          <t>Army / Land</t>
        </is>
      </c>
      <c r="I10" s="20" t="inlineStr">
        <is>
          <t>Fibrotex USA Inc. / Fibrotex Technologies</t>
        </is>
      </c>
      <c r="J10" s="20" t="inlineStr">
        <is>
          <t>Fibrotex</t>
        </is>
      </c>
      <c r="K10" s="20" t="inlineStr">
        <is>
          <t>Israel / USA</t>
        </is>
      </c>
      <c r="L10" s="20" t="inlineStr">
        <is>
          <t>W911QY20F0463 — ULCANS delivery order under W911QY18D0210</t>
        </is>
      </c>
      <c r="M10" s="20" t="inlineStr">
        <is>
          <t>Nets / Covers</t>
        </is>
      </c>
      <c r="N10" s="20" t="inlineStr">
        <is>
          <t>Ultra-Lightweight Camouflage Net System (ULCANS)</t>
        </is>
      </c>
      <c r="O10" s="20" t="inlineStr">
        <is>
          <t>Multispectral</t>
        </is>
      </c>
      <c r="P10" s="20" t="inlineStr">
        <is>
          <t>Order</t>
        </is>
      </c>
      <c r="Q10" s="20" t="n"/>
      <c r="R10" s="20" t="inlineStr">
        <is>
          <t>Yes</t>
        </is>
      </c>
      <c r="S10" s="99" t="n"/>
      <c r="T10" s="20" t="inlineStr">
        <is>
          <t>Unknown</t>
        </is>
      </c>
      <c r="U10" s="20" t="n"/>
      <c r="V10" s="100" t="inlineStr">
        <is>
          <t>568400.0</t>
        </is>
      </c>
      <c r="W10" s="20" t="inlineStr">
        <is>
          <t>USD</t>
        </is>
      </c>
      <c r="X10" s="20" t="n"/>
      <c r="Y10" s="20" t="inlineStr">
        <is>
          <t>Obligated / signed if disclosed</t>
        </is>
      </c>
      <c r="Z10" s="20" t="inlineStr">
        <is>
          <t>Yes</t>
        </is>
      </c>
      <c r="AA10" s="20" t="inlineStr">
        <is>
          <t>Production Procurement</t>
        </is>
      </c>
      <c r="AB10" s="20" t="inlineStr">
        <is>
          <t>Land</t>
        </is>
      </c>
      <c r="AC10" s="20" t="inlineStr">
        <is>
          <t>Yes</t>
        </is>
      </c>
      <c r="AD10" s="20" t="n"/>
      <c r="AE10" s="20" t="inlineStr">
        <is>
          <t>https://www.federalcompass.com/fed-contract-award/W911QY18D0210</t>
        </is>
      </c>
      <c r="AF10" s="20" t="inlineStr">
        <is>
          <t>Other credible third-party source (FPDS-derived task-order history)</t>
        </is>
      </c>
      <c r="AG10" s="20" t="inlineStr">
        <is>
          <t>Secondary / aggregator</t>
        </is>
      </c>
      <c r="AH10" s="20" t="inlineStr">
        <is>
          <t>Medium</t>
        </is>
      </c>
      <c r="AI10" s="20" t="inlineStr">
        <is>
          <t>Distinct committed delivery order W911QY20F0463 shown in the cited task-order history. Parent IDIQ ceiling is not counted as sales.</t>
        </is>
      </c>
      <c r="AJ10" s="20" t="inlineStr">
        <is>
          <t>Yes</t>
        </is>
      </c>
      <c r="AK10" s="20" t="inlineStr">
        <is>
          <t>No</t>
        </is>
      </c>
      <c r="AL10" s="20" t="inlineStr">
        <is>
          <t>No</t>
        </is>
      </c>
      <c r="AM10" s="20" t="inlineStr">
        <is>
          <t>No</t>
        </is>
      </c>
      <c r="AN10" s="20" t="inlineStr">
        <is>
          <t>No</t>
        </is>
      </c>
      <c r="AO10" s="20" t="inlineStr">
        <is>
          <t>Yes</t>
        </is>
      </c>
      <c r="AP10" s="20" t="inlineStr">
        <is>
          <t>Included in Land core</t>
        </is>
      </c>
      <c r="AQ10" s="92" t="n">
        <v>0</v>
      </c>
      <c r="AR10" s="92" t="n">
        <v>0</v>
      </c>
      <c r="AS10" s="92" t="n">
        <v>0</v>
      </c>
      <c r="AT10" s="92" t="n">
        <v>0</v>
      </c>
      <c r="AU10" s="92" t="n">
        <v>0</v>
      </c>
      <c r="AV10" s="92" t="n">
        <v>0</v>
      </c>
      <c r="AW10" s="92" t="n">
        <v>1</v>
      </c>
    </row>
    <row r="11">
      <c r="A11" s="20" t="inlineStr">
        <is>
          <t>SM-0007</t>
        </is>
      </c>
      <c r="B11" s="20" t="inlineStr">
        <is>
          <t>ULCANS-IDV-W911QY18D0210</t>
        </is>
      </c>
      <c r="C11" s="98" t="inlineStr">
        <is>
          <t>2020-09-11</t>
        </is>
      </c>
      <c r="D11" s="92" t="n">
        <v>2020</v>
      </c>
      <c r="E11" s="20" t="inlineStr">
        <is>
          <t>United States</t>
        </is>
      </c>
      <c r="F11" s="20" t="inlineStr">
        <is>
          <t>ACC Aberdeen Proving Ground (Natick) / PEO CS&amp;CSS, U.S. Army</t>
        </is>
      </c>
      <c r="G11" s="20" t="inlineStr">
        <is>
          <t>U.S. Army</t>
        </is>
      </c>
      <c r="H11" s="20" t="inlineStr">
        <is>
          <t>Army / Land</t>
        </is>
      </c>
      <c r="I11" s="20" t="inlineStr">
        <is>
          <t>Fibrotex USA Inc. / Fibrotex Technologies</t>
        </is>
      </c>
      <c r="J11" s="20" t="inlineStr">
        <is>
          <t>Fibrotex</t>
        </is>
      </c>
      <c r="K11" s="20" t="inlineStr">
        <is>
          <t>Israel / USA</t>
        </is>
      </c>
      <c r="L11" s="20" t="inlineStr">
        <is>
          <t>W911QY20F0459 — ULCANS delivery order under W911QY18D0210</t>
        </is>
      </c>
      <c r="M11" s="20" t="inlineStr">
        <is>
          <t>Nets / Covers</t>
        </is>
      </c>
      <c r="N11" s="20" t="inlineStr">
        <is>
          <t>Ultra-Lightweight Camouflage Net System (ULCANS)</t>
        </is>
      </c>
      <c r="O11" s="20" t="inlineStr">
        <is>
          <t>Multispectral</t>
        </is>
      </c>
      <c r="P11" s="20" t="inlineStr">
        <is>
          <t>Order</t>
        </is>
      </c>
      <c r="Q11" s="20" t="n"/>
      <c r="R11" s="20" t="inlineStr">
        <is>
          <t>Yes</t>
        </is>
      </c>
      <c r="S11" s="99" t="n"/>
      <c r="T11" s="20" t="inlineStr">
        <is>
          <t>Unknown</t>
        </is>
      </c>
      <c r="U11" s="20" t="n"/>
      <c r="V11" s="100" t="inlineStr">
        <is>
          <t>1200000.0</t>
        </is>
      </c>
      <c r="W11" s="20" t="inlineStr">
        <is>
          <t>USD</t>
        </is>
      </c>
      <c r="X11" s="20" t="n"/>
      <c r="Y11" s="20" t="inlineStr">
        <is>
          <t>Obligated / signed if disclosed</t>
        </is>
      </c>
      <c r="Z11" s="20" t="inlineStr">
        <is>
          <t>Yes</t>
        </is>
      </c>
      <c r="AA11" s="20" t="inlineStr">
        <is>
          <t>Production Procurement</t>
        </is>
      </c>
      <c r="AB11" s="20" t="inlineStr">
        <is>
          <t>Land</t>
        </is>
      </c>
      <c r="AC11" s="20" t="inlineStr">
        <is>
          <t>Yes</t>
        </is>
      </c>
      <c r="AD11" s="20" t="n"/>
      <c r="AE11" s="20" t="inlineStr">
        <is>
          <t>https://www.federalcompass.com/fed-contract-award/W911QY18D0210</t>
        </is>
      </c>
      <c r="AF11" s="20" t="inlineStr">
        <is>
          <t>Other credible third-party source (FPDS-derived task-order history)</t>
        </is>
      </c>
      <c r="AG11" s="20" t="inlineStr">
        <is>
          <t>Secondary / aggregator</t>
        </is>
      </c>
      <c r="AH11" s="20" t="inlineStr">
        <is>
          <t>Medium</t>
        </is>
      </c>
      <c r="AI11" s="20" t="inlineStr">
        <is>
          <t>Distinct committed delivery order W911QY20F0459 shown in the cited task-order history. Parent IDIQ ceiling is not counted as sales.</t>
        </is>
      </c>
      <c r="AJ11" s="20" t="inlineStr">
        <is>
          <t>Yes</t>
        </is>
      </c>
      <c r="AK11" s="20" t="inlineStr">
        <is>
          <t>No</t>
        </is>
      </c>
      <c r="AL11" s="20" t="inlineStr">
        <is>
          <t>No</t>
        </is>
      </c>
      <c r="AM11" s="20" t="inlineStr">
        <is>
          <t>No</t>
        </is>
      </c>
      <c r="AN11" s="20" t="inlineStr">
        <is>
          <t>No</t>
        </is>
      </c>
      <c r="AO11" s="20" t="inlineStr">
        <is>
          <t>Yes</t>
        </is>
      </c>
      <c r="AP11" s="20" t="inlineStr">
        <is>
          <t>Included in Land core</t>
        </is>
      </c>
      <c r="AQ11" s="92" t="n">
        <v>0</v>
      </c>
      <c r="AR11" s="92" t="n">
        <v>0</v>
      </c>
      <c r="AS11" s="92" t="n">
        <v>0</v>
      </c>
      <c r="AT11" s="92" t="n">
        <v>0</v>
      </c>
      <c r="AU11" s="92" t="n">
        <v>0</v>
      </c>
      <c r="AV11" s="92" t="n">
        <v>0</v>
      </c>
      <c r="AW11" s="92" t="n">
        <v>1</v>
      </c>
    </row>
    <row r="12">
      <c r="A12" s="20" t="inlineStr">
        <is>
          <t>SM-0008</t>
        </is>
      </c>
      <c r="B12" s="20" t="inlineStr">
        <is>
          <t>SE-FMV-MSN-2020</t>
        </is>
      </c>
      <c r="C12" s="98" t="inlineStr">
        <is>
          <t>2020-09-14</t>
        </is>
      </c>
      <c r="D12" s="92" t="n">
        <v>2020</v>
      </c>
      <c r="E12" s="20" t="inlineStr">
        <is>
          <t>Sweden</t>
        </is>
      </c>
      <c r="F12" s="20" t="inlineStr">
        <is>
          <t>Swedish Defence Materiel Administration (FMV)</t>
        </is>
      </c>
      <c r="G12" s="20" t="inlineStr">
        <is>
          <t>Swedish FMV</t>
        </is>
      </c>
      <c r="H12" s="20" t="inlineStr">
        <is>
          <t>Army / Land</t>
        </is>
      </c>
      <c r="I12" s="20" t="inlineStr">
        <is>
          <t>Saab Barracuda AB</t>
        </is>
      </c>
      <c r="J12" s="20" t="inlineStr">
        <is>
          <t>Saab Barracuda</t>
        </is>
      </c>
      <c r="K12" s="20" t="inlineStr">
        <is>
          <t>Sweden</t>
        </is>
      </c>
      <c r="L12" s="20" t="inlineStr">
        <is>
          <t>UH-2020-256 — Multispektrala Maskeringsnät</t>
        </is>
      </c>
      <c r="M12" s="20" t="inlineStr">
        <is>
          <t>Static / mobile land camouflage</t>
        </is>
      </c>
      <c r="N12" s="20" t="inlineStr">
        <is>
          <t>Multispectral camouflage nets</t>
        </is>
      </c>
      <c r="O12" s="20" t="inlineStr">
        <is>
          <t>Multispectral</t>
        </is>
      </c>
      <c r="P12" s="20" t="inlineStr">
        <is>
          <t>Tender</t>
        </is>
      </c>
      <c r="Q12" s="20" t="inlineStr">
        <is>
          <t>Tender</t>
        </is>
      </c>
      <c r="R12" s="20" t="inlineStr">
        <is>
          <t>No</t>
        </is>
      </c>
      <c r="S12" s="99" t="n"/>
      <c r="T12" s="20" t="inlineStr">
        <is>
          <t>Unknown</t>
        </is>
      </c>
      <c r="U12" s="20" t="inlineStr">
        <is>
          <t>Tender range 2,000–4,000; not purchased quantity</t>
        </is>
      </c>
      <c r="V12" s="100" t="n"/>
      <c r="W12" s="20" t="n"/>
      <c r="X12" s="20" t="inlineStr">
        <is>
          <t>Tender stage</t>
        </is>
      </c>
      <c r="Y12" s="20" t="inlineStr">
        <is>
          <t>Obligated / signed if disclosed</t>
        </is>
      </c>
      <c r="Z12" s="20" t="inlineStr">
        <is>
          <t>No</t>
        </is>
      </c>
      <c r="AA12" s="20" t="inlineStr">
        <is>
          <t>Demand</t>
        </is>
      </c>
      <c r="AB12" s="20" t="inlineStr">
        <is>
          <t>Land</t>
        </is>
      </c>
      <c r="AC12" s="20" t="inlineStr">
        <is>
          <t>Yes</t>
        </is>
      </c>
      <c r="AD12" s="20" t="n"/>
      <c r="AE12" s="20" t="inlineStr">
        <is>
          <t>https://se.openprocurements.com/tender/2020-multispektrala-maskeringsnat/</t>
        </is>
      </c>
      <c r="AF12" s="20" t="inlineStr">
        <is>
          <t>Official government / procurement record</t>
        </is>
      </c>
      <c r="AG12" s="20" t="inlineStr">
        <is>
          <t>Primary / official</t>
        </is>
      </c>
      <c r="AH12" s="20" t="inlineStr">
        <is>
          <t>High</t>
        </is>
      </c>
      <c r="AI12" s="20" t="inlineStr">
        <is>
          <t>Formal procurement notice. Option range is not counted as an order or delivered quantity.</t>
        </is>
      </c>
      <c r="AJ12" s="20" t="inlineStr">
        <is>
          <t>No</t>
        </is>
      </c>
      <c r="AK12" s="20" t="inlineStr">
        <is>
          <t>No</t>
        </is>
      </c>
      <c r="AL12" s="20" t="inlineStr">
        <is>
          <t>No</t>
        </is>
      </c>
      <c r="AM12" s="20" t="inlineStr">
        <is>
          <t>Yes</t>
        </is>
      </c>
      <c r="AN12" s="20" t="inlineStr">
        <is>
          <t>No</t>
        </is>
      </c>
      <c r="AO12" s="20" t="inlineStr">
        <is>
          <t>Yes</t>
        </is>
      </c>
      <c r="AP12" s="20" t="inlineStr">
        <is>
          <t>Included in Land core</t>
        </is>
      </c>
      <c r="AQ12" s="92" t="n">
        <v>1</v>
      </c>
      <c r="AR12" s="92" t="n">
        <v>0</v>
      </c>
      <c r="AS12" s="92" t="n">
        <v>1</v>
      </c>
      <c r="AT12" s="92" t="n">
        <v>1</v>
      </c>
      <c r="AU12" s="92" t="n">
        <v>1</v>
      </c>
      <c r="AV12" s="92" t="n">
        <v>1</v>
      </c>
      <c r="AW12" s="92" t="n">
        <v>0</v>
      </c>
    </row>
    <row r="13">
      <c r="A13" s="20" t="inlineStr">
        <is>
          <t>SM-0009</t>
        </is>
      </c>
      <c r="B13" s="20" t="inlineStr">
        <is>
          <t>ULCANS-IDV-W911QY18D0210</t>
        </is>
      </c>
      <c r="C13" s="98" t="inlineStr">
        <is>
          <t>2020-09-18</t>
        </is>
      </c>
      <c r="D13" s="92" t="n">
        <v>2020</v>
      </c>
      <c r="E13" s="20" t="inlineStr">
        <is>
          <t>United States</t>
        </is>
      </c>
      <c r="F13" s="20" t="inlineStr">
        <is>
          <t>ACC Aberdeen Proving Ground (Natick) / PEO CS&amp;CSS, U.S. Army</t>
        </is>
      </c>
      <c r="G13" s="20" t="inlineStr">
        <is>
          <t>U.S. Army</t>
        </is>
      </c>
      <c r="H13" s="20" t="inlineStr">
        <is>
          <t>Army / Land</t>
        </is>
      </c>
      <c r="I13" s="20" t="inlineStr">
        <is>
          <t>Fibrotex USA Inc. / Fibrotex Technologies</t>
        </is>
      </c>
      <c r="J13" s="20" t="inlineStr">
        <is>
          <t>Fibrotex</t>
        </is>
      </c>
      <c r="K13" s="20" t="inlineStr">
        <is>
          <t>Israel / USA</t>
        </is>
      </c>
      <c r="L13" s="20" t="inlineStr">
        <is>
          <t>W911QY20F0514 — ULCANS delivery order under W911QY18D0210</t>
        </is>
      </c>
      <c r="M13" s="20" t="inlineStr">
        <is>
          <t>Nets / Covers</t>
        </is>
      </c>
      <c r="N13" s="20" t="inlineStr">
        <is>
          <t>Ultra-Lightweight Camouflage Net System (ULCANS)</t>
        </is>
      </c>
      <c r="O13" s="20" t="inlineStr">
        <is>
          <t>Multispectral</t>
        </is>
      </c>
      <c r="P13" s="20" t="inlineStr">
        <is>
          <t>Order</t>
        </is>
      </c>
      <c r="Q13" s="20" t="n"/>
      <c r="R13" s="20" t="inlineStr">
        <is>
          <t>Yes</t>
        </is>
      </c>
      <c r="S13" s="99" t="n"/>
      <c r="T13" s="20" t="inlineStr">
        <is>
          <t>Unknown</t>
        </is>
      </c>
      <c r="U13" s="20" t="n"/>
      <c r="V13" s="100" t="inlineStr">
        <is>
          <t>54600.0</t>
        </is>
      </c>
      <c r="W13" s="20" t="inlineStr">
        <is>
          <t>USD</t>
        </is>
      </c>
      <c r="X13" s="20" t="n"/>
      <c r="Y13" s="20" t="inlineStr">
        <is>
          <t>Obligated / signed if disclosed</t>
        </is>
      </c>
      <c r="Z13" s="20" t="inlineStr">
        <is>
          <t>Yes</t>
        </is>
      </c>
      <c r="AA13" s="20" t="inlineStr">
        <is>
          <t>Production Procurement</t>
        </is>
      </c>
      <c r="AB13" s="20" t="inlineStr">
        <is>
          <t>Land</t>
        </is>
      </c>
      <c r="AC13" s="20" t="inlineStr">
        <is>
          <t>Yes</t>
        </is>
      </c>
      <c r="AD13" s="20" t="n"/>
      <c r="AE13" s="20" t="inlineStr">
        <is>
          <t>https://www.federalcompass.com/fed-contract-award/W911QY18D0210</t>
        </is>
      </c>
      <c r="AF13" s="20" t="inlineStr">
        <is>
          <t>Other credible third-party source (FPDS-derived task-order history)</t>
        </is>
      </c>
      <c r="AG13" s="20" t="inlineStr">
        <is>
          <t>Secondary / aggregator</t>
        </is>
      </c>
      <c r="AH13" s="20" t="inlineStr">
        <is>
          <t>Medium</t>
        </is>
      </c>
      <c r="AI13" s="20" t="inlineStr">
        <is>
          <t>Distinct committed delivery order W911QY20F0514 shown in the cited task-order history. Parent IDIQ ceiling is not counted as sales.</t>
        </is>
      </c>
      <c r="AJ13" s="20" t="inlineStr">
        <is>
          <t>Yes</t>
        </is>
      </c>
      <c r="AK13" s="20" t="inlineStr">
        <is>
          <t>Yes</t>
        </is>
      </c>
      <c r="AL13" s="20" t="inlineStr">
        <is>
          <t>No</t>
        </is>
      </c>
      <c r="AM13" s="20" t="inlineStr">
        <is>
          <t>No</t>
        </is>
      </c>
      <c r="AN13" s="20" t="inlineStr">
        <is>
          <t>No</t>
        </is>
      </c>
      <c r="AO13" s="20" t="inlineStr">
        <is>
          <t>Yes</t>
        </is>
      </c>
      <c r="AP13" s="20" t="inlineStr">
        <is>
          <t>Included in Land core</t>
        </is>
      </c>
      <c r="AQ13" s="92" t="n">
        <v>0</v>
      </c>
      <c r="AR13" s="92" t="n">
        <v>0</v>
      </c>
      <c r="AS13" s="92" t="n">
        <v>0</v>
      </c>
      <c r="AT13" s="92" t="n">
        <v>0</v>
      </c>
      <c r="AU13" s="92" t="n">
        <v>0</v>
      </c>
      <c r="AV13" s="92" t="n">
        <v>0</v>
      </c>
      <c r="AW13" s="92" t="n">
        <v>1</v>
      </c>
    </row>
    <row r="14">
      <c r="A14" s="20" t="inlineStr">
        <is>
          <t>SM-0010</t>
        </is>
      </c>
      <c r="B14" s="20" t="inlineStr">
        <is>
          <t>ULCANS-IDV-W911QY18D0210</t>
        </is>
      </c>
      <c r="C14" s="98" t="inlineStr">
        <is>
          <t>2020-09-18</t>
        </is>
      </c>
      <c r="D14" s="92" t="n">
        <v>2020</v>
      </c>
      <c r="E14" s="20" t="inlineStr">
        <is>
          <t>United States</t>
        </is>
      </c>
      <c r="F14" s="20" t="inlineStr">
        <is>
          <t>ACC Aberdeen Proving Ground (Natick) / PEO CS&amp;CSS, U.S. Army</t>
        </is>
      </c>
      <c r="G14" s="20" t="inlineStr">
        <is>
          <t>U.S. Army</t>
        </is>
      </c>
      <c r="H14" s="20" t="inlineStr">
        <is>
          <t>Army / Land</t>
        </is>
      </c>
      <c r="I14" s="20" t="inlineStr">
        <is>
          <t>Fibrotex USA Inc. / Fibrotex Technologies</t>
        </is>
      </c>
      <c r="J14" s="20" t="inlineStr">
        <is>
          <t>Fibrotex</t>
        </is>
      </c>
      <c r="K14" s="20" t="inlineStr">
        <is>
          <t>Israel / USA</t>
        </is>
      </c>
      <c r="L14" s="20" t="inlineStr">
        <is>
          <t>W911QY20F0510 — ULCANS delivery order under W911QY18D0210</t>
        </is>
      </c>
      <c r="M14" s="20" t="inlineStr">
        <is>
          <t>Nets / Covers</t>
        </is>
      </c>
      <c r="N14" s="20" t="inlineStr">
        <is>
          <t>Ultra-Lightweight Camouflage Net System (ULCANS)</t>
        </is>
      </c>
      <c r="O14" s="20" t="inlineStr">
        <is>
          <t>Multispectral</t>
        </is>
      </c>
      <c r="P14" s="20" t="inlineStr">
        <is>
          <t>Order</t>
        </is>
      </c>
      <c r="Q14" s="20" t="n"/>
      <c r="R14" s="20" t="inlineStr">
        <is>
          <t>Yes</t>
        </is>
      </c>
      <c r="S14" s="99" t="n"/>
      <c r="T14" s="20" t="inlineStr">
        <is>
          <t>Unknown</t>
        </is>
      </c>
      <c r="U14" s="20" t="n"/>
      <c r="V14" s="100" t="inlineStr">
        <is>
          <t>140800.0</t>
        </is>
      </c>
      <c r="W14" s="20" t="inlineStr">
        <is>
          <t>USD</t>
        </is>
      </c>
      <c r="X14" s="20" t="n"/>
      <c r="Y14" s="20" t="inlineStr">
        <is>
          <t>Obligated / signed if disclosed</t>
        </is>
      </c>
      <c r="Z14" s="20" t="inlineStr">
        <is>
          <t>Yes</t>
        </is>
      </c>
      <c r="AA14" s="20" t="inlineStr">
        <is>
          <t>Production Procurement</t>
        </is>
      </c>
      <c r="AB14" s="20" t="inlineStr">
        <is>
          <t>Land</t>
        </is>
      </c>
      <c r="AC14" s="20" t="inlineStr">
        <is>
          <t>Yes</t>
        </is>
      </c>
      <c r="AD14" s="20" t="n"/>
      <c r="AE14" s="20" t="inlineStr">
        <is>
          <t>https://www.federalcompass.com/fed-contract-award/W911QY18D0210</t>
        </is>
      </c>
      <c r="AF14" s="20" t="inlineStr">
        <is>
          <t>Other credible third-party source (FPDS-derived task-order history)</t>
        </is>
      </c>
      <c r="AG14" s="20" t="inlineStr">
        <is>
          <t>Secondary / aggregator</t>
        </is>
      </c>
      <c r="AH14" s="20" t="inlineStr">
        <is>
          <t>Medium</t>
        </is>
      </c>
      <c r="AI14" s="20" t="inlineStr">
        <is>
          <t>Distinct committed delivery order W911QY20F0510 shown in the cited task-order history. Parent IDIQ ceiling is not counted as sales.</t>
        </is>
      </c>
      <c r="AJ14" s="20" t="inlineStr">
        <is>
          <t>Yes</t>
        </is>
      </c>
      <c r="AK14" s="20" t="inlineStr">
        <is>
          <t>No</t>
        </is>
      </c>
      <c r="AL14" s="20" t="inlineStr">
        <is>
          <t>No</t>
        </is>
      </c>
      <c r="AM14" s="20" t="inlineStr">
        <is>
          <t>No</t>
        </is>
      </c>
      <c r="AN14" s="20" t="inlineStr">
        <is>
          <t>No</t>
        </is>
      </c>
      <c r="AO14" s="20" t="inlineStr">
        <is>
          <t>Yes</t>
        </is>
      </c>
      <c r="AP14" s="20" t="inlineStr">
        <is>
          <t>Included in Land core</t>
        </is>
      </c>
      <c r="AQ14" s="92" t="n">
        <v>0</v>
      </c>
      <c r="AR14" s="92" t="n">
        <v>0</v>
      </c>
      <c r="AS14" s="92" t="n">
        <v>0</v>
      </c>
      <c r="AT14" s="92" t="n">
        <v>0</v>
      </c>
      <c r="AU14" s="92" t="n">
        <v>0</v>
      </c>
      <c r="AV14" s="92" t="n">
        <v>0</v>
      </c>
      <c r="AW14" s="92" t="n">
        <v>1</v>
      </c>
    </row>
    <row r="15">
      <c r="A15" s="20" t="inlineStr">
        <is>
          <t>SM-0011</t>
        </is>
      </c>
      <c r="B15" s="20" t="inlineStr">
        <is>
          <t>ULCANS-IDV-W911QY18D0210</t>
        </is>
      </c>
      <c r="C15" s="98" t="inlineStr">
        <is>
          <t>2020-09-25</t>
        </is>
      </c>
      <c r="D15" s="92" t="n">
        <v>2020</v>
      </c>
      <c r="E15" s="20" t="inlineStr">
        <is>
          <t>United States</t>
        </is>
      </c>
      <c r="F15" s="20" t="inlineStr">
        <is>
          <t>ACC Aberdeen Proving Ground (Natick) / PEO CS&amp;CSS, U.S. Army</t>
        </is>
      </c>
      <c r="G15" s="20" t="inlineStr">
        <is>
          <t>U.S. Army</t>
        </is>
      </c>
      <c r="H15" s="20" t="inlineStr">
        <is>
          <t>Army / Land</t>
        </is>
      </c>
      <c r="I15" s="20" t="inlineStr">
        <is>
          <t>Fibrotex USA Inc. / Fibrotex Technologies</t>
        </is>
      </c>
      <c r="J15" s="20" t="inlineStr">
        <is>
          <t>Fibrotex</t>
        </is>
      </c>
      <c r="K15" s="20" t="inlineStr">
        <is>
          <t>Israel / USA</t>
        </is>
      </c>
      <c r="L15" s="20" t="inlineStr">
        <is>
          <t>W911QY20F0521 — ULCANS delivery order under W911QY18D0210</t>
        </is>
      </c>
      <c r="M15" s="20" t="inlineStr">
        <is>
          <t>Nets / Covers</t>
        </is>
      </c>
      <c r="N15" s="20" t="inlineStr">
        <is>
          <t>Ultra-Lightweight Camouflage Net System (ULCANS)</t>
        </is>
      </c>
      <c r="O15" s="20" t="inlineStr">
        <is>
          <t>Multispectral</t>
        </is>
      </c>
      <c r="P15" s="20" t="inlineStr">
        <is>
          <t>Order</t>
        </is>
      </c>
      <c r="Q15" s="20" t="n"/>
      <c r="R15" s="20" t="inlineStr">
        <is>
          <t>Yes</t>
        </is>
      </c>
      <c r="S15" s="99" t="n"/>
      <c r="T15" s="20" t="inlineStr">
        <is>
          <t>Unknown</t>
        </is>
      </c>
      <c r="U15" s="20" t="n"/>
      <c r="V15" s="100" t="inlineStr">
        <is>
          <t>100000.0</t>
        </is>
      </c>
      <c r="W15" s="20" t="inlineStr">
        <is>
          <t>USD</t>
        </is>
      </c>
      <c r="X15" s="20" t="n"/>
      <c r="Y15" s="20" t="inlineStr">
        <is>
          <t>Obligated / signed if disclosed</t>
        </is>
      </c>
      <c r="Z15" s="20" t="inlineStr">
        <is>
          <t>Yes</t>
        </is>
      </c>
      <c r="AA15" s="20" t="inlineStr">
        <is>
          <t>Production Procurement</t>
        </is>
      </c>
      <c r="AB15" s="20" t="inlineStr">
        <is>
          <t>Land</t>
        </is>
      </c>
      <c r="AC15" s="20" t="inlineStr">
        <is>
          <t>Yes</t>
        </is>
      </c>
      <c r="AD15" s="20" t="n"/>
      <c r="AE15" s="20" t="inlineStr">
        <is>
          <t>https://www.federalcompass.com/fed-contract-award/W911QY18D0210</t>
        </is>
      </c>
      <c r="AF15" s="20" t="inlineStr">
        <is>
          <t>Other credible third-party source (FPDS-derived task-order history)</t>
        </is>
      </c>
      <c r="AG15" s="20" t="inlineStr">
        <is>
          <t>Secondary / aggregator</t>
        </is>
      </c>
      <c r="AH15" s="20" t="inlineStr">
        <is>
          <t>Medium</t>
        </is>
      </c>
      <c r="AI15" s="20" t="inlineStr">
        <is>
          <t>Distinct committed delivery order W911QY20F0521 shown in the cited task-order history. Parent IDIQ ceiling is not counted as sales.</t>
        </is>
      </c>
      <c r="AJ15" s="20" t="inlineStr">
        <is>
          <t>Yes</t>
        </is>
      </c>
      <c r="AK15" s="20" t="inlineStr">
        <is>
          <t>No</t>
        </is>
      </c>
      <c r="AL15" s="20" t="inlineStr">
        <is>
          <t>No</t>
        </is>
      </c>
      <c r="AM15" s="20" t="inlineStr">
        <is>
          <t>No</t>
        </is>
      </c>
      <c r="AN15" s="20" t="inlineStr">
        <is>
          <t>No</t>
        </is>
      </c>
      <c r="AO15" s="20" t="inlineStr">
        <is>
          <t>Yes</t>
        </is>
      </c>
      <c r="AP15" s="20" t="inlineStr">
        <is>
          <t>Included in Land core</t>
        </is>
      </c>
      <c r="AQ15" s="92" t="n">
        <v>0</v>
      </c>
      <c r="AR15" s="92" t="n">
        <v>0</v>
      </c>
      <c r="AS15" s="92" t="n">
        <v>0</v>
      </c>
      <c r="AT15" s="92" t="n">
        <v>0</v>
      </c>
      <c r="AU15" s="92" t="n">
        <v>0</v>
      </c>
      <c r="AV15" s="92" t="n">
        <v>0</v>
      </c>
      <c r="AW15" s="92" t="n">
        <v>1</v>
      </c>
    </row>
    <row r="16">
      <c r="A16" s="20" t="inlineStr">
        <is>
          <t>SM-0012</t>
        </is>
      </c>
      <c r="B16" s="20" t="inlineStr">
        <is>
          <t>ULCANS-IDV-W911QY18D0210</t>
        </is>
      </c>
      <c r="C16" s="98" t="inlineStr">
        <is>
          <t>2020-09-29</t>
        </is>
      </c>
      <c r="D16" s="92" t="n">
        <v>2020</v>
      </c>
      <c r="E16" s="20" t="inlineStr">
        <is>
          <t>United States</t>
        </is>
      </c>
      <c r="F16" s="20" t="inlineStr">
        <is>
          <t>ACC Aberdeen Proving Ground (Natick) / PEO CS&amp;CSS, U.S. Army</t>
        </is>
      </c>
      <c r="G16" s="20" t="inlineStr">
        <is>
          <t>U.S. Army</t>
        </is>
      </c>
      <c r="H16" s="20" t="inlineStr">
        <is>
          <t>Army / Land</t>
        </is>
      </c>
      <c r="I16" s="20" t="inlineStr">
        <is>
          <t>Fibrotex USA Inc. / Fibrotex Technologies</t>
        </is>
      </c>
      <c r="J16" s="20" t="inlineStr">
        <is>
          <t>Fibrotex</t>
        </is>
      </c>
      <c r="K16" s="20" t="inlineStr">
        <is>
          <t>Israel / USA</t>
        </is>
      </c>
      <c r="L16" s="20" t="inlineStr">
        <is>
          <t>W911QY20F0568 — ULCANS delivery order under W911QY18D0210</t>
        </is>
      </c>
      <c r="M16" s="20" t="inlineStr">
        <is>
          <t>Nets / Covers</t>
        </is>
      </c>
      <c r="N16" s="20" t="inlineStr">
        <is>
          <t>Ultra-Lightweight Camouflage Net System (ULCANS)</t>
        </is>
      </c>
      <c r="O16" s="20" t="inlineStr">
        <is>
          <t>Multispectral</t>
        </is>
      </c>
      <c r="P16" s="20" t="inlineStr">
        <is>
          <t>Order</t>
        </is>
      </c>
      <c r="Q16" s="20" t="n"/>
      <c r="R16" s="20" t="inlineStr">
        <is>
          <t>Yes</t>
        </is>
      </c>
      <c r="S16" s="99" t="n"/>
      <c r="T16" s="20" t="inlineStr">
        <is>
          <t>Unknown</t>
        </is>
      </c>
      <c r="U16" s="20" t="n"/>
      <c r="V16" s="100" t="inlineStr">
        <is>
          <t>32900.0</t>
        </is>
      </c>
      <c r="W16" s="20" t="inlineStr">
        <is>
          <t>USD</t>
        </is>
      </c>
      <c r="X16" s="20" t="n"/>
      <c r="Y16" s="20" t="inlineStr">
        <is>
          <t>Obligated / signed if disclosed</t>
        </is>
      </c>
      <c r="Z16" s="20" t="inlineStr">
        <is>
          <t>Yes</t>
        </is>
      </c>
      <c r="AA16" s="20" t="inlineStr">
        <is>
          <t>Production Procurement</t>
        </is>
      </c>
      <c r="AB16" s="20" t="inlineStr">
        <is>
          <t>Land</t>
        </is>
      </c>
      <c r="AC16" s="20" t="inlineStr">
        <is>
          <t>Yes</t>
        </is>
      </c>
      <c r="AD16" s="20" t="n"/>
      <c r="AE16" s="20" t="inlineStr">
        <is>
          <t>https://www.federalcompass.com/fed-contract-award/W911QY18D0210</t>
        </is>
      </c>
      <c r="AF16" s="20" t="inlineStr">
        <is>
          <t>Other credible third-party source (FPDS-derived task-order history)</t>
        </is>
      </c>
      <c r="AG16" s="20" t="inlineStr">
        <is>
          <t>Secondary / aggregator</t>
        </is>
      </c>
      <c r="AH16" s="20" t="inlineStr">
        <is>
          <t>Medium</t>
        </is>
      </c>
      <c r="AI16" s="20" t="inlineStr">
        <is>
          <t>Distinct committed delivery order W911QY20F0568 shown in the cited task-order history. Parent IDIQ ceiling is not counted as sales.</t>
        </is>
      </c>
      <c r="AJ16" s="20" t="inlineStr">
        <is>
          <t>Yes</t>
        </is>
      </c>
      <c r="AK16" s="20" t="inlineStr">
        <is>
          <t>No</t>
        </is>
      </c>
      <c r="AL16" s="20" t="inlineStr">
        <is>
          <t>No</t>
        </is>
      </c>
      <c r="AM16" s="20" t="inlineStr">
        <is>
          <t>No</t>
        </is>
      </c>
      <c r="AN16" s="20" t="inlineStr">
        <is>
          <t>No</t>
        </is>
      </c>
      <c r="AO16" s="20" t="inlineStr">
        <is>
          <t>Yes</t>
        </is>
      </c>
      <c r="AP16" s="20" t="inlineStr">
        <is>
          <t>Included in Land core</t>
        </is>
      </c>
      <c r="AQ16" s="92" t="n">
        <v>0</v>
      </c>
      <c r="AR16" s="92" t="n">
        <v>0</v>
      </c>
      <c r="AS16" s="92" t="n">
        <v>0</v>
      </c>
      <c r="AT16" s="92" t="n">
        <v>0</v>
      </c>
      <c r="AU16" s="92" t="n">
        <v>0</v>
      </c>
      <c r="AV16" s="92" t="n">
        <v>0</v>
      </c>
      <c r="AW16" s="92" t="n">
        <v>1</v>
      </c>
    </row>
    <row r="17">
      <c r="A17" s="20" t="inlineStr">
        <is>
          <t>SM-0013</t>
        </is>
      </c>
      <c r="B17" s="20" t="inlineStr">
        <is>
          <t>SE-FMV-MSN-2020</t>
        </is>
      </c>
      <c r="C17" s="98" t="inlineStr">
        <is>
          <t>2020-10-22</t>
        </is>
      </c>
      <c r="D17" s="92" t="n">
        <v>2020</v>
      </c>
      <c r="E17" s="20" t="inlineStr">
        <is>
          <t>Sweden</t>
        </is>
      </c>
      <c r="F17" s="20" t="inlineStr">
        <is>
          <t>Swedish Defence Materiel Administration (FMV)</t>
        </is>
      </c>
      <c r="G17" s="20" t="inlineStr">
        <is>
          <t>Swedish FMV</t>
        </is>
      </c>
      <c r="H17" s="20" t="inlineStr">
        <is>
          <t>Army / Land</t>
        </is>
      </c>
      <c r="I17" s="20" t="inlineStr">
        <is>
          <t>Saab Barracuda AB</t>
        </is>
      </c>
      <c r="J17" s="20" t="inlineStr">
        <is>
          <t>Saab Barracuda</t>
        </is>
      </c>
      <c r="K17" s="20" t="inlineStr">
        <is>
          <t>Sweden</t>
        </is>
      </c>
      <c r="L17" s="20" t="inlineStr">
        <is>
          <t>UH-2020-256 / Multispektrala Maskeringsnät</t>
        </is>
      </c>
      <c r="M17" s="20" t="inlineStr">
        <is>
          <t>Land camouflage / nets</t>
        </is>
      </c>
      <c r="N17" s="20" t="inlineStr">
        <is>
          <t>Multispectral camouflage nets</t>
        </is>
      </c>
      <c r="O17" s="20" t="inlineStr">
        <is>
          <t>Multispectral</t>
        </is>
      </c>
      <c r="P17" s="20" t="inlineStr">
        <is>
          <t>Contract award</t>
        </is>
      </c>
      <c r="Q17" s="20" t="inlineStr">
        <is>
          <t>Award</t>
        </is>
      </c>
      <c r="R17" s="20" t="inlineStr">
        <is>
          <t>Yes</t>
        </is>
      </c>
      <c r="S17" s="99" t="n"/>
      <c r="T17" s="20" t="inlineStr">
        <is>
          <t>Unknown</t>
        </is>
      </c>
      <c r="U17" s="20" t="n"/>
      <c r="V17" s="100" t="inlineStr">
        <is>
          <t>637392000</t>
        </is>
      </c>
      <c r="W17" s="20" t="inlineStr">
        <is>
          <t>SEK</t>
        </is>
      </c>
      <c r="X17" s="20" t="inlineStr">
        <is>
          <t>Final contract value excluding VAT</t>
        </is>
      </c>
      <c r="Y17" s="20" t="inlineStr">
        <is>
          <t>Obligated / signed if disclosed</t>
        </is>
      </c>
      <c r="Z17" s="20" t="inlineStr">
        <is>
          <t>No</t>
        </is>
      </c>
      <c r="AA17" s="20" t="inlineStr">
        <is>
          <t>Production Procurement</t>
        </is>
      </c>
      <c r="AB17" s="20" t="inlineStr">
        <is>
          <t>Land</t>
        </is>
      </c>
      <c r="AC17" s="20" t="inlineStr">
        <is>
          <t>Yes</t>
        </is>
      </c>
      <c r="AD17" s="20" t="n"/>
      <c r="AE17" s="20" t="inlineStr">
        <is>
          <t>https://www.e-avrop.com/fmv/e-Upphandling/ContractAwardNotice.aspx?id=17759&amp;type=TED</t>
        </is>
      </c>
      <c r="AF17" s="20" t="inlineStr">
        <is>
          <t>Official FMV procurement award notice</t>
        </is>
      </c>
      <c r="AG17" s="20" t="inlineStr">
        <is>
          <t>Secondary / aggregator</t>
        </is>
      </c>
      <c r="AH17" s="20" t="inlineStr">
        <is>
          <t>High</t>
        </is>
      </c>
      <c r="AI17" s="20" t="inlineStr">
        <is>
          <t>Major Swedish award absent from the two normalized event datasets.</t>
        </is>
      </c>
      <c r="AJ17" s="20" t="inlineStr">
        <is>
          <t>No</t>
        </is>
      </c>
      <c r="AK17" s="20" t="inlineStr">
        <is>
          <t>No</t>
        </is>
      </c>
      <c r="AL17" s="20" t="inlineStr">
        <is>
          <t>No</t>
        </is>
      </c>
      <c r="AM17" s="20" t="inlineStr">
        <is>
          <t>Yes</t>
        </is>
      </c>
      <c r="AN17" s="20" t="inlineStr">
        <is>
          <t>No</t>
        </is>
      </c>
      <c r="AO17" s="20" t="inlineStr">
        <is>
          <t>Yes</t>
        </is>
      </c>
      <c r="AP17" s="20" t="inlineStr">
        <is>
          <t>Included in Land core</t>
        </is>
      </c>
      <c r="AQ17" s="92" t="n">
        <v>0</v>
      </c>
      <c r="AR17" s="92" t="n">
        <v>1</v>
      </c>
      <c r="AS17" s="92" t="n">
        <v>0</v>
      </c>
      <c r="AT17" s="92" t="n">
        <v>0</v>
      </c>
      <c r="AU17" s="92" t="n">
        <v>0</v>
      </c>
      <c r="AV17" s="92" t="n">
        <v>0</v>
      </c>
      <c r="AW17" s="92" t="n">
        <v>0</v>
      </c>
    </row>
    <row r="18">
      <c r="A18" s="20" t="inlineStr">
        <is>
          <t>SM-0014</t>
        </is>
      </c>
      <c r="B18" s="20" t="inlineStr">
        <is>
          <t>ULCANS-IDV-W911QY18D0210</t>
        </is>
      </c>
      <c r="C18" s="98" t="inlineStr">
        <is>
          <t>2020-11-16</t>
        </is>
      </c>
      <c r="D18" s="92" t="n">
        <v>2020</v>
      </c>
      <c r="E18" s="20" t="inlineStr">
        <is>
          <t>United States</t>
        </is>
      </c>
      <c r="F18" s="20" t="inlineStr">
        <is>
          <t>ACC Aberdeen Proving Ground (Natick) / PEO CS&amp;CSS, U.S. Army</t>
        </is>
      </c>
      <c r="G18" s="20" t="inlineStr">
        <is>
          <t>U.S. Army</t>
        </is>
      </c>
      <c r="H18" s="20" t="inlineStr">
        <is>
          <t>Army / Land</t>
        </is>
      </c>
      <c r="I18" s="20" t="inlineStr">
        <is>
          <t>Fibrotex USA Inc. / Fibrotex Technologies</t>
        </is>
      </c>
      <c r="J18" s="20" t="inlineStr">
        <is>
          <t>Fibrotex</t>
        </is>
      </c>
      <c r="K18" s="20" t="inlineStr">
        <is>
          <t>Israel / USA</t>
        </is>
      </c>
      <c r="L18" s="20" t="inlineStr">
        <is>
          <t>W911QY21F0428 — ULCANS delivery order under W911QY18D0210</t>
        </is>
      </c>
      <c r="M18" s="20" t="inlineStr">
        <is>
          <t>Nets / Covers</t>
        </is>
      </c>
      <c r="N18" s="20" t="inlineStr">
        <is>
          <t>Ultra-Lightweight Camouflage Net System (ULCANS)</t>
        </is>
      </c>
      <c r="O18" s="20" t="inlineStr">
        <is>
          <t>Multispectral</t>
        </is>
      </c>
      <c r="P18" s="20" t="inlineStr">
        <is>
          <t>Order</t>
        </is>
      </c>
      <c r="Q18" s="20" t="n"/>
      <c r="R18" s="20" t="inlineStr">
        <is>
          <t>Yes</t>
        </is>
      </c>
      <c r="S18" s="99" t="n"/>
      <c r="T18" s="20" t="inlineStr">
        <is>
          <t>Unknown</t>
        </is>
      </c>
      <c r="U18" s="20" t="n"/>
      <c r="V18" s="100" t="inlineStr">
        <is>
          <t>4800000.0</t>
        </is>
      </c>
      <c r="W18" s="20" t="inlineStr">
        <is>
          <t>USD</t>
        </is>
      </c>
      <c r="X18" s="20" t="n"/>
      <c r="Y18" s="20" t="inlineStr">
        <is>
          <t>Obligated / signed if disclosed</t>
        </is>
      </c>
      <c r="Z18" s="20" t="inlineStr">
        <is>
          <t>Yes</t>
        </is>
      </c>
      <c r="AA18" s="20" t="inlineStr">
        <is>
          <t>Production Procurement</t>
        </is>
      </c>
      <c r="AB18" s="20" t="inlineStr">
        <is>
          <t>Land</t>
        </is>
      </c>
      <c r="AC18" s="20" t="inlineStr">
        <is>
          <t>Yes</t>
        </is>
      </c>
      <c r="AD18" s="20" t="n"/>
      <c r="AE18" s="20" t="inlineStr">
        <is>
          <t>https://www.federalcompass.com/fed-contract-award/W911QY18D0210</t>
        </is>
      </c>
      <c r="AF18" s="20" t="inlineStr">
        <is>
          <t>Other credible third-party source (FPDS-derived task-order history)</t>
        </is>
      </c>
      <c r="AG18" s="20" t="inlineStr">
        <is>
          <t>Secondary / aggregator</t>
        </is>
      </c>
      <c r="AH18" s="20" t="inlineStr">
        <is>
          <t>Medium</t>
        </is>
      </c>
      <c r="AI18" s="20" t="inlineStr">
        <is>
          <t>Distinct committed delivery order W911QY21F0428 shown in the cited task-order history. Parent IDIQ ceiling is not counted as sales.</t>
        </is>
      </c>
      <c r="AJ18" s="20" t="inlineStr">
        <is>
          <t>Yes</t>
        </is>
      </c>
      <c r="AK18" s="20" t="inlineStr">
        <is>
          <t>No</t>
        </is>
      </c>
      <c r="AL18" s="20" t="inlineStr">
        <is>
          <t>No</t>
        </is>
      </c>
      <c r="AM18" s="20" t="inlineStr">
        <is>
          <t>No</t>
        </is>
      </c>
      <c r="AN18" s="20" t="inlineStr">
        <is>
          <t>No</t>
        </is>
      </c>
      <c r="AO18" s="20" t="inlineStr">
        <is>
          <t>Yes</t>
        </is>
      </c>
      <c r="AP18" s="20" t="inlineStr">
        <is>
          <t>Included in Land core</t>
        </is>
      </c>
      <c r="AQ18" s="92" t="n">
        <v>0</v>
      </c>
      <c r="AR18" s="92" t="n">
        <v>0</v>
      </c>
      <c r="AS18" s="92" t="n">
        <v>0</v>
      </c>
      <c r="AT18" s="92" t="n">
        <v>0</v>
      </c>
      <c r="AU18" s="92" t="n">
        <v>0</v>
      </c>
      <c r="AV18" s="92" t="n">
        <v>0</v>
      </c>
      <c r="AW18" s="92" t="n">
        <v>1</v>
      </c>
    </row>
    <row r="19">
      <c r="A19" s="20" t="inlineStr">
        <is>
          <t>SM-0015</t>
        </is>
      </c>
      <c r="B19" s="20" t="inlineStr">
        <is>
          <t>AMD-CHAMEM</t>
        </is>
      </c>
      <c r="C19" s="98" t="inlineStr">
        <is>
          <t>2020-12-01</t>
        </is>
      </c>
      <c r="D19" s="92" t="n">
        <v>2020</v>
      </c>
      <c r="E19" s="20" t="inlineStr">
        <is>
          <t>United Kingdom</t>
        </is>
      </c>
      <c r="F19" s="20" t="inlineStr">
        <is>
          <t>Dstl Weapons Sector Research Framework</t>
        </is>
      </c>
      <c r="G19" s="20" t="inlineStr">
        <is>
          <t>Dstl Weapons Sector Research Framework</t>
        </is>
      </c>
      <c r="H19" s="20" t="inlineStr">
        <is>
          <t>Army / Land</t>
        </is>
      </c>
      <c r="I19" s="20" t="inlineStr">
        <is>
          <t>Advanced Material Development (AMD)</t>
        </is>
      </c>
      <c r="J19" s="20" t="inlineStr">
        <is>
          <t>Advanced Material Development (AMD)</t>
        </is>
      </c>
      <c r="K19" s="20" t="inlineStr">
        <is>
          <t>Unknown</t>
        </is>
      </c>
      <c r="L19" s="20" t="inlineStr">
        <is>
          <t>ChamEM</t>
        </is>
      </c>
      <c r="M19" s="20" t="inlineStr">
        <is>
          <t>Land relevance stated; application detail limited</t>
        </is>
      </c>
      <c r="N19" s="20" t="inlineStr">
        <is>
          <t>Radar signature material</t>
        </is>
      </c>
      <c r="O19" s="20" t="inlineStr">
        <is>
          <t>Radar / RCS</t>
        </is>
      </c>
      <c r="P19" s="20" t="inlineStr">
        <is>
          <t>Funded R&amp;D</t>
        </is>
      </c>
      <c r="Q19" s="20" t="inlineStr">
        <is>
          <t>Award</t>
        </is>
      </c>
      <c r="R19" s="20" t="inlineStr">
        <is>
          <t>No</t>
        </is>
      </c>
      <c r="S19" s="99" t="n"/>
      <c r="T19" s="20" t="inlineStr">
        <is>
          <t>Unknown</t>
        </is>
      </c>
      <c r="U19" s="20" t="inlineStr">
        <is>
          <t>Unknown</t>
        </is>
      </c>
      <c r="V19" s="100" t="inlineStr">
        <is>
          <t>125000</t>
        </is>
      </c>
      <c r="W19" s="20" t="inlineStr">
        <is>
          <t>GBP</t>
        </is>
      </c>
      <c r="X19" s="20" t="inlineStr">
        <is>
          <t>Reported contract value</t>
        </is>
      </c>
      <c r="Y19" s="20" t="inlineStr">
        <is>
          <t>Obligated / signed if disclosed</t>
        </is>
      </c>
      <c r="Z19" s="20" t="inlineStr">
        <is>
          <t>No</t>
        </is>
      </c>
      <c r="AA19" s="20" t="inlineStr">
        <is>
          <t>Development / Validation</t>
        </is>
      </c>
      <c r="AB19" s="20" t="inlineStr">
        <is>
          <t>Land</t>
        </is>
      </c>
      <c r="AC19" s="20" t="inlineStr">
        <is>
          <t>Yes</t>
        </is>
      </c>
      <c r="AD19" s="20" t="n"/>
      <c r="AE19" s="20" t="inlineStr">
        <is>
          <t>https://www.graphene-info.com/amd-announces-further-contract-extension-us-army</t>
        </is>
      </c>
      <c r="AF19" s="20" t="inlineStr">
        <is>
          <t>Industry publication citing company</t>
        </is>
      </c>
      <c r="AG19" s="20" t="inlineStr">
        <is>
          <t>Supplier / prime announcement</t>
        </is>
      </c>
      <c r="AH19" s="20" t="inlineStr">
        <is>
          <t>Medium</t>
        </is>
      </c>
      <c r="AI19" s="20" t="inlineStr">
        <is>
          <t>Public article reports £125k; delivery/platform details are limited.</t>
        </is>
      </c>
      <c r="AJ19" s="20" t="inlineStr">
        <is>
          <t>No</t>
        </is>
      </c>
      <c r="AK19" s="20" t="inlineStr">
        <is>
          <t>Yes</t>
        </is>
      </c>
      <c r="AL19" s="20" t="inlineStr">
        <is>
          <t>No</t>
        </is>
      </c>
      <c r="AM19" s="20" t="inlineStr">
        <is>
          <t>No</t>
        </is>
      </c>
      <c r="AN19" s="20" t="inlineStr">
        <is>
          <t>No</t>
        </is>
      </c>
      <c r="AO19" s="20" t="inlineStr">
        <is>
          <t>Yes</t>
        </is>
      </c>
      <c r="AP19" s="20" t="inlineStr">
        <is>
          <t>Included in Land core</t>
        </is>
      </c>
      <c r="AQ19" s="92" t="n">
        <v>1</v>
      </c>
      <c r="AR19" s="92" t="n">
        <v>0</v>
      </c>
      <c r="AS19" s="92" t="n">
        <v>1</v>
      </c>
      <c r="AT19" s="92" t="n">
        <v>1</v>
      </c>
      <c r="AU19" s="92" t="n">
        <v>1</v>
      </c>
      <c r="AV19" s="92" t="n">
        <v>1</v>
      </c>
      <c r="AW19" s="92" t="n">
        <v>0</v>
      </c>
    </row>
    <row r="20">
      <c r="A20" s="20" t="inlineStr">
        <is>
          <t>SM-0016</t>
        </is>
      </c>
      <c r="B20" s="20" t="inlineStr">
        <is>
          <t>ULCANS-IDV-W911QY18D0210</t>
        </is>
      </c>
      <c r="C20" s="98" t="inlineStr">
        <is>
          <t>2020-12-17</t>
        </is>
      </c>
      <c r="D20" s="92" t="n">
        <v>2020</v>
      </c>
      <c r="E20" s="20" t="inlineStr">
        <is>
          <t>United States</t>
        </is>
      </c>
      <c r="F20" s="20" t="inlineStr">
        <is>
          <t>ACC Aberdeen Proving Ground (Natick) / PEO CS&amp;CSS, U.S. Army</t>
        </is>
      </c>
      <c r="G20" s="20" t="inlineStr">
        <is>
          <t>U.S. Army</t>
        </is>
      </c>
      <c r="H20" s="20" t="inlineStr">
        <is>
          <t>Army / Land</t>
        </is>
      </c>
      <c r="I20" s="20" t="inlineStr">
        <is>
          <t>Fibrotex USA Inc. / Fibrotex Technologies</t>
        </is>
      </c>
      <c r="J20" s="20" t="inlineStr">
        <is>
          <t>Fibrotex</t>
        </is>
      </c>
      <c r="K20" s="20" t="inlineStr">
        <is>
          <t>Israel / USA</t>
        </is>
      </c>
      <c r="L20" s="20" t="inlineStr">
        <is>
          <t>W911QY21F0459 — ULCANS delivery order under W911QY18D0210</t>
        </is>
      </c>
      <c r="M20" s="20" t="inlineStr">
        <is>
          <t>Nets / Covers</t>
        </is>
      </c>
      <c r="N20" s="20" t="inlineStr">
        <is>
          <t>Ultra-Lightweight Camouflage Net System (ULCANS)</t>
        </is>
      </c>
      <c r="O20" s="20" t="inlineStr">
        <is>
          <t>Multispectral</t>
        </is>
      </c>
      <c r="P20" s="20" t="inlineStr">
        <is>
          <t>Order</t>
        </is>
      </c>
      <c r="Q20" s="20" t="n"/>
      <c r="R20" s="20" t="inlineStr">
        <is>
          <t>Yes</t>
        </is>
      </c>
      <c r="S20" s="99" t="n"/>
      <c r="T20" s="20" t="inlineStr">
        <is>
          <t>Unknown</t>
        </is>
      </c>
      <c r="U20" s="20" t="n"/>
      <c r="V20" s="100" t="inlineStr">
        <is>
          <t>416700.0</t>
        </is>
      </c>
      <c r="W20" s="20" t="inlineStr">
        <is>
          <t>USD</t>
        </is>
      </c>
      <c r="X20" s="20" t="n"/>
      <c r="Y20" s="20" t="inlineStr">
        <is>
          <t>Obligated / signed if disclosed</t>
        </is>
      </c>
      <c r="Z20" s="20" t="inlineStr">
        <is>
          <t>Yes</t>
        </is>
      </c>
      <c r="AA20" s="20" t="inlineStr">
        <is>
          <t>Production Procurement</t>
        </is>
      </c>
      <c r="AB20" s="20" t="inlineStr">
        <is>
          <t>Land</t>
        </is>
      </c>
      <c r="AC20" s="20" t="inlineStr">
        <is>
          <t>Yes</t>
        </is>
      </c>
      <c r="AD20" s="20" t="n"/>
      <c r="AE20" s="20" t="inlineStr">
        <is>
          <t>https://www.federalcompass.com/fed-contract-award/W911QY18D0210</t>
        </is>
      </c>
      <c r="AF20" s="20" t="inlineStr">
        <is>
          <t>Other credible third-party source (FPDS-derived task-order history)</t>
        </is>
      </c>
      <c r="AG20" s="20" t="inlineStr">
        <is>
          <t>Secondary / aggregator</t>
        </is>
      </c>
      <c r="AH20" s="20" t="inlineStr">
        <is>
          <t>Medium</t>
        </is>
      </c>
      <c r="AI20" s="20" t="inlineStr">
        <is>
          <t>Distinct committed delivery order W911QY21F0459 shown in the cited task-order history. Parent IDIQ ceiling is not counted as sales.</t>
        </is>
      </c>
      <c r="AJ20" s="20" t="inlineStr">
        <is>
          <t>Yes</t>
        </is>
      </c>
      <c r="AK20" s="20" t="inlineStr">
        <is>
          <t>No</t>
        </is>
      </c>
      <c r="AL20" s="20" t="inlineStr">
        <is>
          <t>No</t>
        </is>
      </c>
      <c r="AM20" s="20" t="inlineStr">
        <is>
          <t>No</t>
        </is>
      </c>
      <c r="AN20" s="20" t="inlineStr">
        <is>
          <t>No</t>
        </is>
      </c>
      <c r="AO20" s="20" t="inlineStr">
        <is>
          <t>Yes</t>
        </is>
      </c>
      <c r="AP20" s="20" t="inlineStr">
        <is>
          <t>Included in Land core</t>
        </is>
      </c>
      <c r="AQ20" s="92" t="n">
        <v>0</v>
      </c>
      <c r="AR20" s="92" t="n">
        <v>0</v>
      </c>
      <c r="AS20" s="92" t="n">
        <v>0</v>
      </c>
      <c r="AT20" s="92" t="n">
        <v>0</v>
      </c>
      <c r="AU20" s="92" t="n">
        <v>0</v>
      </c>
      <c r="AV20" s="92" t="n">
        <v>0</v>
      </c>
      <c r="AW20" s="92" t="n">
        <v>1</v>
      </c>
    </row>
    <row r="21">
      <c r="A21" s="20" t="inlineStr">
        <is>
          <t>SM-0017</t>
        </is>
      </c>
      <c r="B21" s="20" t="inlineStr">
        <is>
          <t>ULCANS-IDV-W911QY18D0210</t>
        </is>
      </c>
      <c r="C21" s="98" t="inlineStr">
        <is>
          <t>2020-12-22</t>
        </is>
      </c>
      <c r="D21" s="92" t="n">
        <v>2020</v>
      </c>
      <c r="E21" s="20" t="inlineStr">
        <is>
          <t>United States</t>
        </is>
      </c>
      <c r="F21" s="20" t="inlineStr">
        <is>
          <t>ACC Aberdeen Proving Ground / PEO CSCSS, U.S. Army</t>
        </is>
      </c>
      <c r="G21" s="20" t="inlineStr">
        <is>
          <t>U.S. Army</t>
        </is>
      </c>
      <c r="H21" s="20" t="inlineStr">
        <is>
          <t>Army / Land</t>
        </is>
      </c>
      <c r="I21" s="20" t="inlineStr">
        <is>
          <t>Fibrotex USA Inc. / Fibrotex Technologies</t>
        </is>
      </c>
      <c r="J21" s="20" t="inlineStr">
        <is>
          <t>Fibrotex</t>
        </is>
      </c>
      <c r="K21" s="20" t="inlineStr">
        <is>
          <t>Israel / USA</t>
        </is>
      </c>
      <c r="L21" s="20" t="inlineStr">
        <is>
          <t>W911QY21F0100 — Production Units Woodland Type I</t>
        </is>
      </c>
      <c r="M21" s="20" t="inlineStr">
        <is>
          <t>Nets / Covers</t>
        </is>
      </c>
      <c r="N21" s="20" t="inlineStr">
        <is>
          <t>Ultra-Lightweight Camouflage Net System — Woodland Type I</t>
        </is>
      </c>
      <c r="O21" s="20" t="inlineStr">
        <is>
          <t>Multispectral</t>
        </is>
      </c>
      <c r="P21" s="20" t="inlineStr">
        <is>
          <t>Order</t>
        </is>
      </c>
      <c r="Q21" s="20" t="n"/>
      <c r="R21" s="20" t="inlineStr">
        <is>
          <t>Yes</t>
        </is>
      </c>
      <c r="S21" s="99" t="n"/>
      <c r="T21" s="20" t="inlineStr">
        <is>
          <t>Unknown</t>
        </is>
      </c>
      <c r="U21" s="20" t="n"/>
      <c r="V21" s="100" t="inlineStr">
        <is>
          <t>10878417.0</t>
        </is>
      </c>
      <c r="W21" s="20" t="inlineStr">
        <is>
          <t>USD</t>
        </is>
      </c>
      <c r="X21" s="20" t="n"/>
      <c r="Y21" s="20" t="inlineStr">
        <is>
          <t>Obligated / signed if disclosed</t>
        </is>
      </c>
      <c r="Z21" s="20" t="inlineStr">
        <is>
          <t>Yes</t>
        </is>
      </c>
      <c r="AA21" s="20" t="inlineStr">
        <is>
          <t>Production Procurement</t>
        </is>
      </c>
      <c r="AB21" s="20" t="inlineStr">
        <is>
          <t>Land</t>
        </is>
      </c>
      <c r="AC21" s="20" t="inlineStr">
        <is>
          <t>Yes</t>
        </is>
      </c>
      <c r="AD21" s="20" t="n"/>
      <c r="AE21" s="20" t="inlineStr">
        <is>
          <t>https://www.nsnlookup.com/cage/7wne0</t>
        </is>
      </c>
      <c r="AF21" s="20" t="inlineStr">
        <is>
          <t>Other credible third-party source (FPDS/USASpending-derived)</t>
        </is>
      </c>
      <c r="AG21" s="20" t="inlineStr">
        <is>
          <t>Secondary / aggregator</t>
        </is>
      </c>
      <c r="AH21" s="20" t="inlineStr">
        <is>
          <t>High</t>
        </is>
      </c>
      <c r="AI21" s="20" t="inlineStr">
        <is>
          <t>Distinct ULCANS delivery order. This row closes a previously missed late-December 2020 order; do not treat later modifications as separate events.</t>
        </is>
      </c>
      <c r="AJ21" s="20" t="inlineStr">
        <is>
          <t>Yes</t>
        </is>
      </c>
      <c r="AK21" s="20" t="inlineStr">
        <is>
          <t>No</t>
        </is>
      </c>
      <c r="AL21" s="20" t="inlineStr">
        <is>
          <t>No</t>
        </is>
      </c>
      <c r="AM21" s="20" t="inlineStr">
        <is>
          <t>No</t>
        </is>
      </c>
      <c r="AN21" s="20" t="inlineStr">
        <is>
          <t>No</t>
        </is>
      </c>
      <c r="AO21" s="20" t="inlineStr">
        <is>
          <t>Yes</t>
        </is>
      </c>
      <c r="AP21" s="20" t="inlineStr">
        <is>
          <t>Included in Land core</t>
        </is>
      </c>
      <c r="AQ21" s="92" t="n">
        <v>0</v>
      </c>
      <c r="AR21" s="92" t="n">
        <v>0</v>
      </c>
      <c r="AS21" s="92" t="n">
        <v>0</v>
      </c>
      <c r="AT21" s="92" t="n">
        <v>0</v>
      </c>
      <c r="AU21" s="92" t="n">
        <v>0</v>
      </c>
      <c r="AV21" s="92" t="n">
        <v>0</v>
      </c>
      <c r="AW21" s="92" t="n">
        <v>1</v>
      </c>
    </row>
    <row r="22">
      <c r="A22" s="20" t="inlineStr">
        <is>
          <t>SM-0018</t>
        </is>
      </c>
      <c r="B22" s="20" t="inlineStr">
        <is>
          <t>PL-WISLA-CAMO</t>
        </is>
      </c>
      <c r="C22" s="98" t="inlineStr">
        <is>
          <t>2020-12-30</t>
        </is>
      </c>
      <c r="D22" s="92" t="n">
        <v>2020</v>
      </c>
      <c r="E22" s="20" t="inlineStr">
        <is>
          <t>Poland</t>
        </is>
      </c>
      <c r="F22" s="20" t="inlineStr">
        <is>
          <t>Armament Inspectorate (Inspektorat Uzbrojenia), Polish MoD</t>
        </is>
      </c>
      <c r="G22" s="20" t="inlineStr">
        <is>
          <t>Polish Armament Agency / predecessor Armament Inspectorate</t>
        </is>
      </c>
      <c r="H22" s="20" t="inlineStr">
        <is>
          <t>Defence / not disclosed</t>
        </is>
      </c>
      <c r="I22" s="20" t="inlineStr">
        <is>
          <t>Miranda Sp. z o.o. (Lubawa Group)</t>
        </is>
      </c>
      <c r="J22" s="20" t="inlineStr">
        <is>
          <t>Miranda Textiles</t>
        </is>
      </c>
      <c r="K22" s="20" t="inlineStr">
        <is>
          <t>Poland</t>
        </is>
      </c>
      <c r="L22" s="20" t="inlineStr">
        <is>
          <t>WISŁA Phase 1 — Patriot air and missile defence</t>
        </is>
      </c>
      <c r="M22" s="20" t="inlineStr">
        <is>
          <t>Nets / Covers</t>
        </is>
      </c>
      <c r="N22" s="20" t="inlineStr">
        <is>
          <t>Camouflage and deception systems for WISŁA / Patriot batteries</t>
        </is>
      </c>
      <c r="O22" s="20" t="inlineStr">
        <is>
          <t>Not itemised in source</t>
        </is>
      </c>
      <c r="P22" s="20" t="inlineStr">
        <is>
          <t>Other</t>
        </is>
      </c>
      <c r="Q22" s="20" t="n"/>
      <c r="R22" s="20" t="inlineStr">
        <is>
          <t>No</t>
        </is>
      </c>
      <c r="S22" s="99" t="n"/>
      <c r="T22" s="20" t="inlineStr">
        <is>
          <t>Unknown</t>
        </is>
      </c>
      <c r="U22" s="20" t="n"/>
      <c r="V22" s="100" t="n"/>
      <c r="W22" s="20" t="n"/>
      <c r="X22" s="20" t="n"/>
      <c r="Y22" s="20" t="inlineStr">
        <is>
          <t>Obligated / signed if disclosed</t>
        </is>
      </c>
      <c r="Z22" s="20" t="inlineStr">
        <is>
          <t>No</t>
        </is>
      </c>
      <c r="AA22" s="20" t="inlineStr">
        <is>
          <t>Other public event</t>
        </is>
      </c>
      <c r="AB22" s="20" t="inlineStr">
        <is>
          <t>Land</t>
        </is>
      </c>
      <c r="AC22" s="20" t="inlineStr">
        <is>
          <t>Yes</t>
        </is>
      </c>
      <c r="AD22" s="20" t="n"/>
      <c r="AE22" s="20" t="inlineStr">
        <is>
          <t>https://www.dziennikzbrojny.pl/aktualnosci/news%2C1%2C11526%2Caktualnosci-z-polski%2Cumowa-na-system-maskowania-i-pozoracji-w-programie-wisla</t>
        </is>
      </c>
      <c r="AF22" s="20" t="inlineStr">
        <is>
          <t>Reputable defence-industry source</t>
        </is>
      </c>
      <c r="AG22" s="20" t="inlineStr">
        <is>
          <t>Secondary / aggregator</t>
        </is>
      </c>
      <c r="AH22" s="20" t="inlineStr">
        <is>
          <t>High</t>
        </is>
      </c>
      <c r="AI22" s="20" t="inlineStr">
        <is>
          <t>Pre-award procurement milestone only. Links to MIR-2021-01 (contract award) and MIR-2022-01 (exercise of the option). Do not count as a commercial sale or add any value.</t>
        </is>
      </c>
      <c r="AJ22" s="20" t="inlineStr">
        <is>
          <t>Yes</t>
        </is>
      </c>
      <c r="AK22" s="20" t="inlineStr">
        <is>
          <t>No</t>
        </is>
      </c>
      <c r="AL22" s="20" t="inlineStr">
        <is>
          <t>No</t>
        </is>
      </c>
      <c r="AM22" s="20" t="inlineStr">
        <is>
          <t>No</t>
        </is>
      </c>
      <c r="AN22" s="20" t="inlineStr">
        <is>
          <t>No</t>
        </is>
      </c>
      <c r="AO22" s="20" t="inlineStr">
        <is>
          <t>Yes</t>
        </is>
      </c>
      <c r="AP22" s="20" t="inlineStr">
        <is>
          <t>Included in Land core</t>
        </is>
      </c>
      <c r="AQ22" s="92" t="n">
        <v>1</v>
      </c>
      <c r="AR22" s="92" t="n">
        <v>0</v>
      </c>
      <c r="AS22" s="92" t="n">
        <v>1</v>
      </c>
      <c r="AT22" s="92" t="n">
        <v>1</v>
      </c>
      <c r="AU22" s="92" t="n">
        <v>1</v>
      </c>
      <c r="AV22" s="92" t="n">
        <v>1</v>
      </c>
      <c r="AW22" s="92" t="n">
        <v>0</v>
      </c>
    </row>
    <row r="23">
      <c r="A23" s="20" t="inlineStr">
        <is>
          <t>SM-0019</t>
        </is>
      </c>
      <c r="B23" s="20" t="inlineStr">
        <is>
          <t>ULCANS-IDV-W911QY18D0210</t>
        </is>
      </c>
      <c r="C23" s="98" t="inlineStr">
        <is>
          <t>2021-03-12</t>
        </is>
      </c>
      <c r="D23" s="92" t="n">
        <v>2021</v>
      </c>
      <c r="E23" s="20" t="inlineStr">
        <is>
          <t>United States</t>
        </is>
      </c>
      <c r="F23" s="20" t="inlineStr">
        <is>
          <t>ACC Aberdeen Proving Ground / PEO CSCSS, U.S. Army</t>
        </is>
      </c>
      <c r="G23" s="20" t="inlineStr">
        <is>
          <t>U.S. Army</t>
        </is>
      </c>
      <c r="H23" s="20" t="inlineStr">
        <is>
          <t>Army / Land</t>
        </is>
      </c>
      <c r="I23" s="20" t="inlineStr">
        <is>
          <t>Fibrotex USA Inc. / Fibrotex Technologies</t>
        </is>
      </c>
      <c r="J23" s="20" t="inlineStr">
        <is>
          <t>Fibrotex</t>
        </is>
      </c>
      <c r="K23" s="20" t="inlineStr">
        <is>
          <t>Israel / USA</t>
        </is>
      </c>
      <c r="L23" s="20" t="inlineStr">
        <is>
          <t>W911QY21F0158 — Mobile Camouflage System design/development</t>
        </is>
      </c>
      <c r="M23" s="20" t="inlineStr">
        <is>
          <t>Nets / Covers</t>
        </is>
      </c>
      <c r="N23" s="20" t="inlineStr">
        <is>
          <t>MCS Preliminary Design Review #3</t>
        </is>
      </c>
      <c r="O23" s="20" t="inlineStr">
        <is>
          <t>Multispectral</t>
        </is>
      </c>
      <c r="P23" s="20" t="inlineStr">
        <is>
          <t>Funded Development</t>
        </is>
      </c>
      <c r="Q23" s="20" t="n"/>
      <c r="R23" s="20" t="inlineStr">
        <is>
          <t>No</t>
        </is>
      </c>
      <c r="S23" s="99" t="n"/>
      <c r="T23" s="20" t="inlineStr">
        <is>
          <t>Unknown</t>
        </is>
      </c>
      <c r="U23" s="20" t="n"/>
      <c r="V23" s="100" t="inlineStr">
        <is>
          <t>5500000.0</t>
        </is>
      </c>
      <c r="W23" s="20" t="inlineStr">
        <is>
          <t>USD</t>
        </is>
      </c>
      <c r="X23" s="20" t="n"/>
      <c r="Y23" s="20" t="inlineStr">
        <is>
          <t>Obligated / signed if disclosed</t>
        </is>
      </c>
      <c r="Z23" s="20" t="inlineStr">
        <is>
          <t>No</t>
        </is>
      </c>
      <c r="AA23" s="20" t="inlineStr">
        <is>
          <t>Development / Validation</t>
        </is>
      </c>
      <c r="AB23" s="20" t="inlineStr">
        <is>
          <t>Land</t>
        </is>
      </c>
      <c r="AC23" s="20" t="inlineStr">
        <is>
          <t>Yes</t>
        </is>
      </c>
      <c r="AD23" s="20" t="n"/>
      <c r="AE23" s="20" t="inlineStr">
        <is>
          <t>https://govtribe.com/award/federal-contract-award/other-transaction-agreement-w911qy269a019</t>
        </is>
      </c>
      <c r="AF23" s="20" t="inlineStr">
        <is>
          <t>Other credible third-party source (FPDS/USASpending-derived)</t>
        </is>
      </c>
      <c r="AG23" s="20" t="inlineStr">
        <is>
          <t>Secondary / aggregator</t>
        </is>
      </c>
      <c r="AH23" s="20" t="inlineStr">
        <is>
          <t>High</t>
        </is>
      </c>
      <c r="AI23" s="20" t="inlineStr">
        <is>
          <t>One design/development delivery order under the ULCANS contract family. Public records show later transaction/modification dates; record only the original award event.</t>
        </is>
      </c>
      <c r="AJ23" s="20" t="inlineStr">
        <is>
          <t>Yes</t>
        </is>
      </c>
      <c r="AK23" s="20" t="inlineStr">
        <is>
          <t>Yes</t>
        </is>
      </c>
      <c r="AL23" s="20" t="inlineStr">
        <is>
          <t>No</t>
        </is>
      </c>
      <c r="AM23" s="20" t="inlineStr">
        <is>
          <t>No</t>
        </is>
      </c>
      <c r="AN23" s="20" t="inlineStr">
        <is>
          <t>No</t>
        </is>
      </c>
      <c r="AO23" s="20" t="inlineStr">
        <is>
          <t>Yes</t>
        </is>
      </c>
      <c r="AP23" s="20" t="inlineStr">
        <is>
          <t>Included in Land core</t>
        </is>
      </c>
      <c r="AQ23" s="92" t="n">
        <v>1</v>
      </c>
      <c r="AR23" s="92" t="n">
        <v>0</v>
      </c>
      <c r="AS23" s="92" t="n">
        <v>1</v>
      </c>
      <c r="AT23" s="92" t="n">
        <v>1</v>
      </c>
      <c r="AU23" s="92" t="n">
        <v>1</v>
      </c>
      <c r="AV23" s="92" t="n">
        <v>0</v>
      </c>
      <c r="AW23" s="92" t="n">
        <v>0</v>
      </c>
    </row>
    <row r="24">
      <c r="A24" s="20" t="inlineStr">
        <is>
          <t>SM-0020</t>
        </is>
      </c>
      <c r="B24" s="20" t="inlineStr">
        <is>
          <t>ULCANS-IDV-W911QY18D0210</t>
        </is>
      </c>
      <c r="C24" s="98" t="inlineStr">
        <is>
          <t>2021-05-19</t>
        </is>
      </c>
      <c r="D24" s="92" t="n">
        <v>2021</v>
      </c>
      <c r="E24" s="20" t="inlineStr">
        <is>
          <t>United States</t>
        </is>
      </c>
      <c r="F24" s="20" t="inlineStr">
        <is>
          <t>ACC Aberdeen Proving Ground / PEO CSCSS, U.S. Army</t>
        </is>
      </c>
      <c r="G24" s="20" t="inlineStr">
        <is>
          <t>U.S. Army</t>
        </is>
      </c>
      <c r="H24" s="20" t="inlineStr">
        <is>
          <t>Army / Land</t>
        </is>
      </c>
      <c r="I24" s="20" t="inlineStr">
        <is>
          <t>Fibrotex USA Inc. / Fibrotex Technologies</t>
        </is>
      </c>
      <c r="J24" s="20" t="inlineStr">
        <is>
          <t>Fibrotex</t>
        </is>
      </c>
      <c r="K24" s="20" t="inlineStr">
        <is>
          <t>Israel / USA</t>
        </is>
      </c>
      <c r="L24" s="20" t="inlineStr">
        <is>
          <t>W911QY21F0292 — Production Units Woodland Type II</t>
        </is>
      </c>
      <c r="M24" s="20" t="inlineStr">
        <is>
          <t>Nets / Covers</t>
        </is>
      </c>
      <c r="N24" s="20" t="inlineStr">
        <is>
          <t>ULCANS production units — Woodland Type II</t>
        </is>
      </c>
      <c r="O24" s="20" t="inlineStr">
        <is>
          <t>Multispectral</t>
        </is>
      </c>
      <c r="P24" s="20" t="inlineStr">
        <is>
          <t>Order</t>
        </is>
      </c>
      <c r="Q24" s="20" t="n"/>
      <c r="R24" s="20" t="inlineStr">
        <is>
          <t>Yes</t>
        </is>
      </c>
      <c r="S24" s="99" t="n"/>
      <c r="T24" s="20" t="inlineStr">
        <is>
          <t>Unknown</t>
        </is>
      </c>
      <c r="U24" s="20" t="n"/>
      <c r="V24" s="100" t="inlineStr">
        <is>
          <t>575215.68</t>
        </is>
      </c>
      <c r="W24" s="20" t="inlineStr">
        <is>
          <t>USD</t>
        </is>
      </c>
      <c r="X24" s="20" t="n"/>
      <c r="Y24" s="20" t="inlineStr">
        <is>
          <t>Obligated / signed if disclosed</t>
        </is>
      </c>
      <c r="Z24" s="20" t="inlineStr">
        <is>
          <t>Yes</t>
        </is>
      </c>
      <c r="AA24" s="20" t="inlineStr">
        <is>
          <t>Production Procurement</t>
        </is>
      </c>
      <c r="AB24" s="20" t="inlineStr">
        <is>
          <t>Land</t>
        </is>
      </c>
      <c r="AC24" s="20" t="inlineStr">
        <is>
          <t>Yes</t>
        </is>
      </c>
      <c r="AD24" s="20" t="n"/>
      <c r="AE24" s="20" t="inlineStr">
        <is>
          <t>https://www.nsnlookup.com/cage/7wne0</t>
        </is>
      </c>
      <c r="AF24" s="20" t="inlineStr">
        <is>
          <t>Other credible third-party source (FPDS/USASpending-derived)</t>
        </is>
      </c>
      <c r="AG24" s="20" t="inlineStr">
        <is>
          <t>Secondary / aggregator</t>
        </is>
      </c>
      <c r="AH24" s="20" t="inlineStr">
        <is>
          <t>High</t>
        </is>
      </c>
      <c r="AI24" s="20" t="inlineStr">
        <is>
          <t>Distinct ULCANS production order.</t>
        </is>
      </c>
      <c r="AJ24" s="20" t="inlineStr">
        <is>
          <t>Yes</t>
        </is>
      </c>
      <c r="AK24" s="20" t="inlineStr">
        <is>
          <t>No</t>
        </is>
      </c>
      <c r="AL24" s="20" t="inlineStr">
        <is>
          <t>No</t>
        </is>
      </c>
      <c r="AM24" s="20" t="inlineStr">
        <is>
          <t>No</t>
        </is>
      </c>
      <c r="AN24" s="20" t="inlineStr">
        <is>
          <t>No</t>
        </is>
      </c>
      <c r="AO24" s="20" t="inlineStr">
        <is>
          <t>Yes</t>
        </is>
      </c>
      <c r="AP24" s="20" t="inlineStr">
        <is>
          <t>Included in Land core</t>
        </is>
      </c>
      <c r="AQ24" s="92" t="n">
        <v>0</v>
      </c>
      <c r="AR24" s="92" t="n">
        <v>1</v>
      </c>
      <c r="AS24" s="92" t="n">
        <v>0</v>
      </c>
      <c r="AT24" s="92" t="n">
        <v>0</v>
      </c>
      <c r="AU24" s="92" t="n">
        <v>0</v>
      </c>
      <c r="AV24" s="92" t="n">
        <v>0</v>
      </c>
      <c r="AW24" s="92" t="n">
        <v>1</v>
      </c>
    </row>
    <row r="25">
      <c r="A25" s="20" t="inlineStr">
        <is>
          <t>SM-0021</t>
        </is>
      </c>
      <c r="B25" s="20" t="inlineStr">
        <is>
          <t>AWE-TACTICAM-2021</t>
        </is>
      </c>
      <c r="C25" s="98" t="inlineStr">
        <is>
          <t>2021-06-07</t>
        </is>
      </c>
      <c r="D25" s="92" t="n">
        <v>2021</v>
      </c>
      <c r="E25" s="20" t="inlineStr">
        <is>
          <t>United States</t>
        </is>
      </c>
      <c r="F25" s="20" t="inlineStr">
        <is>
          <t>U.S. Army Natick</t>
        </is>
      </c>
      <c r="G25" s="20" t="inlineStr">
        <is>
          <t>U.S. Army</t>
        </is>
      </c>
      <c r="H25" s="20" t="inlineStr">
        <is>
          <t>Army / Land</t>
        </is>
      </c>
      <c r="I25" s="20" t="inlineStr">
        <is>
          <t>ArmorWorks Enterprises</t>
        </is>
      </c>
      <c r="J25" s="20" t="inlineStr">
        <is>
          <t>ArmorWorks Enterprises</t>
        </is>
      </c>
      <c r="K25" s="20" t="inlineStr">
        <is>
          <t>Unknown</t>
        </is>
      </c>
      <c r="L25" s="20" t="inlineStr">
        <is>
          <t>TactiCam study</t>
        </is>
      </c>
      <c r="M25" s="20" t="inlineStr">
        <is>
          <t>Vehicles, buildings and warfighter</t>
        </is>
      </c>
      <c r="N25" s="20" t="inlineStr">
        <is>
          <t>TactiCam</t>
        </is>
      </c>
      <c r="O25" s="20" t="inlineStr">
        <is>
          <t>VIS/Thermal IR/Radar</t>
        </is>
      </c>
      <c r="P25" s="20" t="inlineStr">
        <is>
          <t>Study</t>
        </is>
      </c>
      <c r="Q25" s="20" t="inlineStr">
        <is>
          <t>Award</t>
        </is>
      </c>
      <c r="R25" s="20" t="inlineStr">
        <is>
          <t>No</t>
        </is>
      </c>
      <c r="S25" s="99" t="n"/>
      <c r="T25" s="20" t="inlineStr">
        <is>
          <t>Unknown</t>
        </is>
      </c>
      <c r="U25" s="20" t="inlineStr">
        <is>
          <t>Unknown</t>
        </is>
      </c>
      <c r="V25" s="100" t="n"/>
      <c r="W25" s="20" t="inlineStr">
        <is>
          <t>Unknown</t>
        </is>
      </c>
      <c r="X25" s="20" t="inlineStr">
        <is>
          <t>Undisclosed</t>
        </is>
      </c>
      <c r="Y25" s="20" t="inlineStr">
        <is>
          <t>Obligated / signed if disclosed</t>
        </is>
      </c>
      <c r="Z25" s="20" t="inlineStr">
        <is>
          <t>No</t>
        </is>
      </c>
      <c r="AA25" s="20" t="inlineStr">
        <is>
          <t>Development / Validation</t>
        </is>
      </c>
      <c r="AB25" s="20" t="inlineStr">
        <is>
          <t>Land / Personnel (mixed)</t>
        </is>
      </c>
      <c r="AC25" s="20" t="inlineStr">
        <is>
          <t>Yes</t>
        </is>
      </c>
      <c r="AD25" s="20" t="str"/>
      <c r="AE25" s="20" t="inlineStr">
        <is>
          <t>https://www.linkedin.com/posts/armorworks_armorworks-enterprises-inc-announces-a-activity-6809150587029069825-k6NX</t>
        </is>
      </c>
      <c r="AF25" s="20" t="inlineStr">
        <is>
          <t>Company social-media post</t>
        </is>
      </c>
      <c r="AG25" s="20" t="inlineStr">
        <is>
          <t>Secondary / aggregator</t>
        </is>
      </c>
      <c r="AH25" s="20" t="inlineStr">
        <is>
          <t>Low</t>
        </is>
      </c>
      <c r="AI25" s="20" t="inlineStr">
        <is>
          <t>Army Natick contracted a study of TactiCam for future warfighter use; supplier evidence states explicit mobile/stationary vehicle and building application. Included as low-confidence land/mixed development evidence, not an order.</t>
        </is>
      </c>
      <c r="AJ25" s="20" t="inlineStr">
        <is>
          <t>No</t>
        </is>
      </c>
      <c r="AK25" s="20" t="inlineStr">
        <is>
          <t>Yes</t>
        </is>
      </c>
      <c r="AL25" s="20" t="inlineStr">
        <is>
          <t>No</t>
        </is>
      </c>
      <c r="AM25" s="20" t="inlineStr">
        <is>
          <t>No</t>
        </is>
      </c>
      <c r="AN25" s="20" t="inlineStr">
        <is>
          <t>No</t>
        </is>
      </c>
      <c r="AO25" s="20" t="inlineStr">
        <is>
          <t>No</t>
        </is>
      </c>
      <c r="AP25" s="20" t="inlineStr">
        <is>
          <t>Included in Land core</t>
        </is>
      </c>
      <c r="AQ25" s="92" t="n">
        <v>1</v>
      </c>
      <c r="AR25" s="92" t="n">
        <v>0</v>
      </c>
      <c r="AS25" s="92" t="n">
        <v>1</v>
      </c>
      <c r="AT25" s="92" t="n">
        <v>0</v>
      </c>
      <c r="AU25" s="92" t="n">
        <v>0</v>
      </c>
      <c r="AV25" s="92" t="n">
        <v>1</v>
      </c>
      <c r="AW25" s="92" t="n">
        <v>0</v>
      </c>
    </row>
    <row r="26">
      <c r="A26" s="20" t="inlineStr">
        <is>
          <t>SM-0022</t>
        </is>
      </c>
      <c r="B26" s="20" t="inlineStr">
        <is>
          <t>PL-WISLA-CAMO</t>
        </is>
      </c>
      <c r="C26" s="98" t="inlineStr">
        <is>
          <t>2021-07-08</t>
        </is>
      </c>
      <c r="D26" s="92" t="n">
        <v>2021</v>
      </c>
      <c r="E26" s="20" t="inlineStr">
        <is>
          <t>Poland</t>
        </is>
      </c>
      <c r="F26" s="20" t="inlineStr">
        <is>
          <t>Armament Inspectorate (Inspektorat Uzbrojenia), Polish MoD, for the State Treasury</t>
        </is>
      </c>
      <c r="G26" s="20" t="inlineStr">
        <is>
          <t>Polish Armament Agency / predecessor Armament Inspectorate</t>
        </is>
      </c>
      <c r="H26" s="20" t="inlineStr">
        <is>
          <t>Defence / not disclosed</t>
        </is>
      </c>
      <c r="I26" s="20" t="inlineStr">
        <is>
          <t>Miranda Sp. z o.o. (Lubawa Group)</t>
        </is>
      </c>
      <c r="J26" s="20" t="inlineStr">
        <is>
          <t>Miranda Textiles</t>
        </is>
      </c>
      <c r="K26" s="20" t="inlineStr">
        <is>
          <t>Poland</t>
        </is>
      </c>
      <c r="L26" s="20" t="inlineStr">
        <is>
          <t>WISŁA Phase 1 — two Patriot air and missile defence batteries</t>
        </is>
      </c>
      <c r="M26" s="20" t="inlineStr">
        <is>
          <t>Nets / Covers</t>
        </is>
      </c>
      <c r="N26" s="20" t="inlineStr">
        <is>
          <t>Camouflage and deception systems (systemy maskowania i pozoracji) for Patriot batteries</t>
        </is>
      </c>
      <c r="O26" s="20" t="inlineStr">
        <is>
          <t>Not itemised in source</t>
        </is>
      </c>
      <c r="P26" s="20" t="inlineStr">
        <is>
          <t>Contract Award</t>
        </is>
      </c>
      <c r="Q26" s="20" t="n"/>
      <c r="R26" s="20" t="inlineStr">
        <is>
          <t>Yes</t>
        </is>
      </c>
      <c r="S26" s="99" t="n"/>
      <c r="T26" s="20" t="inlineStr">
        <is>
          <t>sets</t>
        </is>
      </c>
      <c r="U26" s="20" t="n"/>
      <c r="V26" s="100" t="inlineStr">
        <is>
          <t>36000000.0</t>
        </is>
      </c>
      <c r="W26" s="20" t="inlineStr">
        <is>
          <t>PLN</t>
        </is>
      </c>
      <c r="X26" s="20" t="n"/>
      <c r="Y26" s="20" t="inlineStr">
        <is>
          <t>Obligated / signed if disclosed</t>
        </is>
      </c>
      <c r="Z26" s="20" t="inlineStr">
        <is>
          <t>No</t>
        </is>
      </c>
      <c r="AA26" s="20" t="inlineStr">
        <is>
          <t>Production Procurement</t>
        </is>
      </c>
      <c r="AB26" s="20" t="inlineStr">
        <is>
          <t>Land</t>
        </is>
      </c>
      <c r="AC26" s="20" t="inlineStr">
        <is>
          <t>Yes</t>
        </is>
      </c>
      <c r="AD26" s="20" t="n"/>
      <c r="AE26" s="20" t="inlineStr">
        <is>
          <t>https://www.polska-zbrojna.pl/home/articleshow/34778?t=Polskie-maskowanie-Wisly</t>
        </is>
      </c>
      <c r="AF26" s="20" t="inlineStr">
        <is>
          <t>Official military / customer source reported by reputable defence media</t>
        </is>
      </c>
      <c r="AG26" s="20" t="inlineStr">
        <is>
          <t>Secondary / aggregator</t>
        </is>
      </c>
      <c r="AH26" s="20" t="inlineStr">
        <is>
          <t>High</t>
        </is>
      </c>
      <c r="AI26" s="20" t="inlineStr">
        <is>
          <t>The PLN 33m figure was an OPTION at the 2021 award and must not be counted as 2021 sales. The customer subsequently exercised the option in full on 20 Jan 2022; that additional procurement is recorded separately as MIR-2022-01 and should be counted once in 2022. Attributed once to Miranda as consortium leader; Lubawa and WITI are participants and must not be logged as separate events. Head of the PL-WISLA-CAMO procurement chain.</t>
        </is>
      </c>
      <c r="AJ26" s="20" t="inlineStr">
        <is>
          <t>Yes</t>
        </is>
      </c>
      <c r="AK26" s="20" t="inlineStr">
        <is>
          <t>No</t>
        </is>
      </c>
      <c r="AL26" s="20" t="inlineStr">
        <is>
          <t>No</t>
        </is>
      </c>
      <c r="AM26" s="20" t="inlineStr">
        <is>
          <t>No</t>
        </is>
      </c>
      <c r="AN26" s="20" t="inlineStr">
        <is>
          <t>No</t>
        </is>
      </c>
      <c r="AO26" s="20" t="inlineStr">
        <is>
          <t>Yes</t>
        </is>
      </c>
      <c r="AP26" s="20" t="inlineStr">
        <is>
          <t>Included in Land core</t>
        </is>
      </c>
      <c r="AQ26" s="92" t="n">
        <v>1</v>
      </c>
      <c r="AR26" s="92" t="n">
        <v>1</v>
      </c>
      <c r="AS26" s="92" t="n">
        <v>1</v>
      </c>
      <c r="AT26" s="92" t="n">
        <v>1</v>
      </c>
      <c r="AU26" s="92" t="n">
        <v>1</v>
      </c>
      <c r="AV26" s="92" t="n">
        <v>0</v>
      </c>
      <c r="AW26" s="92" t="n">
        <v>0</v>
      </c>
    </row>
    <row r="27">
      <c r="A27" s="20" t="inlineStr">
        <is>
          <t>SM-0023</t>
        </is>
      </c>
      <c r="B27" s="20" t="inlineStr">
        <is>
          <t>ULCANS-IDV-W911QY18D0210</t>
        </is>
      </c>
      <c r="C27" s="98" t="inlineStr">
        <is>
          <t>2021-08-16</t>
        </is>
      </c>
      <c r="D27" s="92" t="n">
        <v>2021</v>
      </c>
      <c r="E27" s="20" t="inlineStr">
        <is>
          <t>United States</t>
        </is>
      </c>
      <c r="F27" s="20" t="inlineStr">
        <is>
          <t>ACC Aberdeen Proving Ground / PEO CSCSS, U.S. Army</t>
        </is>
      </c>
      <c r="G27" s="20" t="inlineStr">
        <is>
          <t>U.S. Army</t>
        </is>
      </c>
      <c r="H27" s="20" t="inlineStr">
        <is>
          <t>Army / Land</t>
        </is>
      </c>
      <c r="I27" s="20" t="inlineStr">
        <is>
          <t>Fibrotex USA Inc. / Fibrotex Technologies</t>
        </is>
      </c>
      <c r="J27" s="20" t="inlineStr">
        <is>
          <t>Fibrotex</t>
        </is>
      </c>
      <c r="K27" s="20" t="inlineStr">
        <is>
          <t>Israel / USA</t>
        </is>
      </c>
      <c r="L27" s="20" t="inlineStr">
        <is>
          <t>W911QY21F0399 — LRIP Desert/Urban Type I</t>
        </is>
      </c>
      <c r="M27" s="20" t="inlineStr">
        <is>
          <t>Nets / Covers</t>
        </is>
      </c>
      <c r="N27" s="20" t="inlineStr">
        <is>
          <t>ULCANS LRIP units — Desert/Urban Type I</t>
        </is>
      </c>
      <c r="O27" s="20" t="inlineStr">
        <is>
          <t>Multispectral</t>
        </is>
      </c>
      <c r="P27" s="20" t="inlineStr">
        <is>
          <t>Order</t>
        </is>
      </c>
      <c r="Q27" s="20" t="n"/>
      <c r="R27" s="20" t="inlineStr">
        <is>
          <t>Yes</t>
        </is>
      </c>
      <c r="S27" s="99" t="n"/>
      <c r="T27" s="20" t="inlineStr">
        <is>
          <t>Unknown</t>
        </is>
      </c>
      <c r="U27" s="20" t="n"/>
      <c r="V27" s="100" t="inlineStr">
        <is>
          <t>11518669.49</t>
        </is>
      </c>
      <c r="W27" s="20" t="inlineStr">
        <is>
          <t>USD</t>
        </is>
      </c>
      <c r="X27" s="20" t="n"/>
      <c r="Y27" s="20" t="inlineStr">
        <is>
          <t>Obligated / signed if disclosed</t>
        </is>
      </c>
      <c r="Z27" s="20" t="inlineStr">
        <is>
          <t>Yes</t>
        </is>
      </c>
      <c r="AA27" s="20" t="inlineStr">
        <is>
          <t>Production Procurement</t>
        </is>
      </c>
      <c r="AB27" s="20" t="inlineStr">
        <is>
          <t>Land</t>
        </is>
      </c>
      <c r="AC27" s="20" t="inlineStr">
        <is>
          <t>Yes</t>
        </is>
      </c>
      <c r="AD27" s="20" t="n"/>
      <c r="AE27" s="20" t="inlineStr">
        <is>
          <t>https://www.nsnlookup.com/cage/7wne0</t>
        </is>
      </c>
      <c r="AF27" s="20" t="inlineStr">
        <is>
          <t>Other credible third-party source (FPDS/USASpending-derived)</t>
        </is>
      </c>
      <c r="AG27" s="20" t="inlineStr">
        <is>
          <t>Secondary / aggregator</t>
        </is>
      </c>
      <c r="AH27" s="20" t="inlineStr">
        <is>
          <t>High</t>
        </is>
      </c>
      <c r="AI27" s="20" t="inlineStr">
        <is>
          <t>Distinct ULCANS LRIP production order; later transaction dates on the same PIID are not separate events.</t>
        </is>
      </c>
      <c r="AJ27" s="20" t="inlineStr">
        <is>
          <t>Yes</t>
        </is>
      </c>
      <c r="AK27" s="20" t="inlineStr">
        <is>
          <t>No</t>
        </is>
      </c>
      <c r="AL27" s="20" t="inlineStr">
        <is>
          <t>No</t>
        </is>
      </c>
      <c r="AM27" s="20" t="inlineStr">
        <is>
          <t>No</t>
        </is>
      </c>
      <c r="AN27" s="20" t="inlineStr">
        <is>
          <t>No</t>
        </is>
      </c>
      <c r="AO27" s="20" t="inlineStr">
        <is>
          <t>Yes</t>
        </is>
      </c>
      <c r="AP27" s="20" t="inlineStr">
        <is>
          <t>Included in Land core</t>
        </is>
      </c>
      <c r="AQ27" s="92" t="n">
        <v>0</v>
      </c>
      <c r="AR27" s="92" t="n">
        <v>0</v>
      </c>
      <c r="AS27" s="92" t="n">
        <v>0</v>
      </c>
      <c r="AT27" s="92" t="n">
        <v>0</v>
      </c>
      <c r="AU27" s="92" t="n">
        <v>0</v>
      </c>
      <c r="AV27" s="92" t="n">
        <v>0</v>
      </c>
      <c r="AW27" s="92" t="n">
        <v>1</v>
      </c>
    </row>
    <row r="28">
      <c r="A28" s="20" t="inlineStr">
        <is>
          <t>SM-0024</t>
        </is>
      </c>
      <c r="B28" s="20" t="inlineStr">
        <is>
          <t>ULCANS-IDV-W911QY18D0210</t>
        </is>
      </c>
      <c r="C28" s="98" t="inlineStr">
        <is>
          <t>2021-08-20</t>
        </is>
      </c>
      <c r="D28" s="92" t="n">
        <v>2021</v>
      </c>
      <c r="E28" s="20" t="inlineStr">
        <is>
          <t>United States</t>
        </is>
      </c>
      <c r="F28" s="20" t="inlineStr">
        <is>
          <t>ACC Aberdeen Proving Ground / PEO CSCSS, U.S. Army</t>
        </is>
      </c>
      <c r="G28" s="20" t="inlineStr">
        <is>
          <t>U.S. Army</t>
        </is>
      </c>
      <c r="H28" s="20" t="inlineStr">
        <is>
          <t>Army / Land</t>
        </is>
      </c>
      <c r="I28" s="20" t="inlineStr">
        <is>
          <t>Fibrotex USA Inc. / Fibrotex Technologies</t>
        </is>
      </c>
      <c r="J28" s="20" t="inlineStr">
        <is>
          <t>Fibrotex</t>
        </is>
      </c>
      <c r="K28" s="20" t="inlineStr">
        <is>
          <t>Israel / USA</t>
        </is>
      </c>
      <c r="L28" s="20" t="inlineStr">
        <is>
          <t>W911QY21F0469 — Field Expedient Camo Kit Class 3</t>
        </is>
      </c>
      <c r="M28" s="20" t="inlineStr">
        <is>
          <t>Nets / Covers</t>
        </is>
      </c>
      <c r="N28" s="20" t="inlineStr">
        <is>
          <t>Field Expedient Camouflage Kit Class 3</t>
        </is>
      </c>
      <c r="O28" s="20" t="inlineStr">
        <is>
          <t>Multispectral</t>
        </is>
      </c>
      <c r="P28" s="20" t="inlineStr">
        <is>
          <t>Order</t>
        </is>
      </c>
      <c r="Q28" s="20" t="n"/>
      <c r="R28" s="20" t="inlineStr">
        <is>
          <t>Yes</t>
        </is>
      </c>
      <c r="S28" s="99" t="n"/>
      <c r="T28" s="20" t="inlineStr">
        <is>
          <t>Unknown</t>
        </is>
      </c>
      <c r="U28" s="20" t="n"/>
      <c r="V28" s="100" t="inlineStr">
        <is>
          <t>241848.81</t>
        </is>
      </c>
      <c r="W28" s="20" t="inlineStr">
        <is>
          <t>USD</t>
        </is>
      </c>
      <c r="X28" s="20" t="n"/>
      <c r="Y28" s="20" t="inlineStr">
        <is>
          <t>Obligated / signed if disclosed</t>
        </is>
      </c>
      <c r="Z28" s="20" t="inlineStr">
        <is>
          <t>Yes</t>
        </is>
      </c>
      <c r="AA28" s="20" t="inlineStr">
        <is>
          <t>Production Procurement</t>
        </is>
      </c>
      <c r="AB28" s="20" t="inlineStr">
        <is>
          <t>Land</t>
        </is>
      </c>
      <c r="AC28" s="20" t="inlineStr">
        <is>
          <t>Yes</t>
        </is>
      </c>
      <c r="AD28" s="20" t="n"/>
      <c r="AE28" s="20" t="inlineStr">
        <is>
          <t>https://www.nsnlookup.com/cage/7wne0</t>
        </is>
      </c>
      <c r="AF28" s="20" t="inlineStr">
        <is>
          <t>Other credible third-party source (FPDS/USASpending-derived)</t>
        </is>
      </c>
      <c r="AG28" s="20" t="inlineStr">
        <is>
          <t>Secondary / aggregator</t>
        </is>
      </c>
      <c r="AH28" s="20" t="inlineStr">
        <is>
          <t>High</t>
        </is>
      </c>
      <c r="AI28" s="20" t="inlineStr">
        <is>
          <t>Distinct camouflage-kit order under the ULCANS contract family.</t>
        </is>
      </c>
      <c r="AJ28" s="20" t="inlineStr">
        <is>
          <t>Yes</t>
        </is>
      </c>
      <c r="AK28" s="20" t="inlineStr">
        <is>
          <t>No</t>
        </is>
      </c>
      <c r="AL28" s="20" t="inlineStr">
        <is>
          <t>No</t>
        </is>
      </c>
      <c r="AM28" s="20" t="inlineStr">
        <is>
          <t>No</t>
        </is>
      </c>
      <c r="AN28" s="20" t="inlineStr">
        <is>
          <t>No</t>
        </is>
      </c>
      <c r="AO28" s="20" t="inlineStr">
        <is>
          <t>Yes</t>
        </is>
      </c>
      <c r="AP28" s="20" t="inlineStr">
        <is>
          <t>Included in Land core</t>
        </is>
      </c>
      <c r="AQ28" s="92" t="n">
        <v>0</v>
      </c>
      <c r="AR28" s="92" t="n">
        <v>0</v>
      </c>
      <c r="AS28" s="92" t="n">
        <v>0</v>
      </c>
      <c r="AT28" s="92" t="n">
        <v>0</v>
      </c>
      <c r="AU28" s="92" t="n">
        <v>0</v>
      </c>
      <c r="AV28" s="92" t="n">
        <v>0</v>
      </c>
      <c r="AW28" s="92" t="n">
        <v>1</v>
      </c>
    </row>
    <row r="29">
      <c r="A29" s="20" t="inlineStr">
        <is>
          <t>SM-0025</t>
        </is>
      </c>
      <c r="B29" s="20" t="inlineStr">
        <is>
          <t>ULCANS-IDV-W911QY18D0210</t>
        </is>
      </c>
      <c r="C29" s="98" t="inlineStr">
        <is>
          <t>2021-08-24</t>
        </is>
      </c>
      <c r="D29" s="92" t="n">
        <v>2021</v>
      </c>
      <c r="E29" s="20" t="inlineStr">
        <is>
          <t>United States</t>
        </is>
      </c>
      <c r="F29" s="20" t="inlineStr">
        <is>
          <t>ACC Aberdeen Proving Ground / PEO CSCSS, U.S. Army</t>
        </is>
      </c>
      <c r="G29" s="20" t="inlineStr">
        <is>
          <t>U.S. Army</t>
        </is>
      </c>
      <c r="H29" s="20" t="inlineStr">
        <is>
          <t>Army / Land</t>
        </is>
      </c>
      <c r="I29" s="20" t="inlineStr">
        <is>
          <t>Fibrotex USA Inc. / Fibrotex Technologies</t>
        </is>
      </c>
      <c r="J29" s="20" t="inlineStr">
        <is>
          <t>Fibrotex</t>
        </is>
      </c>
      <c r="K29" s="20" t="inlineStr">
        <is>
          <t>Israel / USA</t>
        </is>
      </c>
      <c r="L29" s="20" t="inlineStr">
        <is>
          <t>W911QY21F0471 — LRIP Desert/Urban Type I</t>
        </is>
      </c>
      <c r="M29" s="20" t="inlineStr">
        <is>
          <t>Nets / Covers</t>
        </is>
      </c>
      <c r="N29" s="20" t="inlineStr">
        <is>
          <t>ULCANS LRIP units — Desert/Urban Type I</t>
        </is>
      </c>
      <c r="O29" s="20" t="inlineStr">
        <is>
          <t>Multispectral</t>
        </is>
      </c>
      <c r="P29" s="20" t="inlineStr">
        <is>
          <t>Order</t>
        </is>
      </c>
      <c r="Q29" s="20" t="n"/>
      <c r="R29" s="20" t="inlineStr">
        <is>
          <t>Yes</t>
        </is>
      </c>
      <c r="S29" s="99" t="n"/>
      <c r="T29" s="20" t="inlineStr">
        <is>
          <t>Unknown</t>
        </is>
      </c>
      <c r="U29" s="20" t="n"/>
      <c r="V29" s="100" t="inlineStr">
        <is>
          <t>16691934.0</t>
        </is>
      </c>
      <c r="W29" s="20" t="inlineStr">
        <is>
          <t>USD</t>
        </is>
      </c>
      <c r="X29" s="20" t="n"/>
      <c r="Y29" s="20" t="inlineStr">
        <is>
          <t>Obligated / signed if disclosed</t>
        </is>
      </c>
      <c r="Z29" s="20" t="inlineStr">
        <is>
          <t>Yes</t>
        </is>
      </c>
      <c r="AA29" s="20" t="inlineStr">
        <is>
          <t>Production Procurement</t>
        </is>
      </c>
      <c r="AB29" s="20" t="inlineStr">
        <is>
          <t>Land</t>
        </is>
      </c>
      <c r="AC29" s="20" t="inlineStr">
        <is>
          <t>Yes</t>
        </is>
      </c>
      <c r="AD29" s="20" t="n"/>
      <c r="AE29" s="20" t="inlineStr">
        <is>
          <t>https://www.nsnlookup.com/cage/7wne0</t>
        </is>
      </c>
      <c r="AF29" s="20" t="inlineStr">
        <is>
          <t>Other credible third-party source (FPDS/USASpending-derived)</t>
        </is>
      </c>
      <c r="AG29" s="20" t="inlineStr">
        <is>
          <t>Secondary / aggregator</t>
        </is>
      </c>
      <c r="AH29" s="20" t="inlineStr">
        <is>
          <t>High</t>
        </is>
      </c>
      <c r="AI29" s="20" t="inlineStr">
        <is>
          <t>Distinct ULCANS LRIP production order; do not count later modifications to this same PIID as new events.</t>
        </is>
      </c>
      <c r="AJ29" s="20" t="inlineStr">
        <is>
          <t>Yes</t>
        </is>
      </c>
      <c r="AK29" s="20" t="inlineStr">
        <is>
          <t>No</t>
        </is>
      </c>
      <c r="AL29" s="20" t="inlineStr">
        <is>
          <t>No</t>
        </is>
      </c>
      <c r="AM29" s="20" t="inlineStr">
        <is>
          <t>No</t>
        </is>
      </c>
      <c r="AN29" s="20" t="inlineStr">
        <is>
          <t>No</t>
        </is>
      </c>
      <c r="AO29" s="20" t="inlineStr">
        <is>
          <t>Yes</t>
        </is>
      </c>
      <c r="AP29" s="20" t="inlineStr">
        <is>
          <t>Included in Land core</t>
        </is>
      </c>
      <c r="AQ29" s="92" t="n">
        <v>0</v>
      </c>
      <c r="AR29" s="92" t="n">
        <v>0</v>
      </c>
      <c r="AS29" s="92" t="n">
        <v>0</v>
      </c>
      <c r="AT29" s="92" t="n">
        <v>0</v>
      </c>
      <c r="AU29" s="92" t="n">
        <v>0</v>
      </c>
      <c r="AV29" s="92" t="n">
        <v>0</v>
      </c>
      <c r="AW29" s="92" t="n">
        <v>1</v>
      </c>
    </row>
    <row r="30">
      <c r="A30" s="20" t="inlineStr">
        <is>
          <t>SM-0026</t>
        </is>
      </c>
      <c r="B30" s="20" t="inlineStr">
        <is>
          <t>ULCANS-IDV-W911QY18D0210</t>
        </is>
      </c>
      <c r="C30" s="98" t="inlineStr">
        <is>
          <t>2021-09-03</t>
        </is>
      </c>
      <c r="D30" s="92" t="n">
        <v>2021</v>
      </c>
      <c r="E30" s="20" t="inlineStr">
        <is>
          <t>United States</t>
        </is>
      </c>
      <c r="F30" s="20" t="inlineStr">
        <is>
          <t>ACC Aberdeen Proving Ground / PEO CSCSS, U.S. Army</t>
        </is>
      </c>
      <c r="G30" s="20" t="inlineStr">
        <is>
          <t>U.S. Army</t>
        </is>
      </c>
      <c r="H30" s="20" t="inlineStr">
        <is>
          <t>Army / Land</t>
        </is>
      </c>
      <c r="I30" s="20" t="inlineStr">
        <is>
          <t>Fibrotex USA Inc. / Fibrotex Technologies</t>
        </is>
      </c>
      <c r="J30" s="20" t="inlineStr">
        <is>
          <t>Fibrotex</t>
        </is>
      </c>
      <c r="K30" s="20" t="inlineStr">
        <is>
          <t>Israel / USA</t>
        </is>
      </c>
      <c r="L30" s="20" t="inlineStr">
        <is>
          <t>W911QY21F0490 — Preliminary Design Review</t>
        </is>
      </c>
      <c r="M30" s="20" t="inlineStr">
        <is>
          <t>Nets / Covers</t>
        </is>
      </c>
      <c r="N30" s="20" t="inlineStr">
        <is>
          <t>Camouflage-system preliminary design review</t>
        </is>
      </c>
      <c r="O30" s="20" t="inlineStr">
        <is>
          <t>Multispectral</t>
        </is>
      </c>
      <c r="P30" s="20" t="inlineStr">
        <is>
          <t>Funded Development</t>
        </is>
      </c>
      <c r="Q30" s="20" t="n"/>
      <c r="R30" s="20" t="inlineStr">
        <is>
          <t>No</t>
        </is>
      </c>
      <c r="S30" s="99" t="n"/>
      <c r="T30" s="20" t="inlineStr">
        <is>
          <t>Unknown</t>
        </is>
      </c>
      <c r="U30" s="20" t="n"/>
      <c r="V30" s="100" t="inlineStr">
        <is>
          <t>425000.0</t>
        </is>
      </c>
      <c r="W30" s="20" t="inlineStr">
        <is>
          <t>USD</t>
        </is>
      </c>
      <c r="X30" s="20" t="n"/>
      <c r="Y30" s="20" t="inlineStr">
        <is>
          <t>Obligated / signed if disclosed</t>
        </is>
      </c>
      <c r="Z30" s="20" t="inlineStr">
        <is>
          <t>No</t>
        </is>
      </c>
      <c r="AA30" s="20" t="inlineStr">
        <is>
          <t>Development / Validation</t>
        </is>
      </c>
      <c r="AB30" s="20" t="inlineStr">
        <is>
          <t>Land</t>
        </is>
      </c>
      <c r="AC30" s="20" t="inlineStr">
        <is>
          <t>Yes</t>
        </is>
      </c>
      <c r="AD30" s="20" t="n"/>
      <c r="AE30" s="20" t="inlineStr">
        <is>
          <t>https://www.nsnlookup.com/cage/7wne0</t>
        </is>
      </c>
      <c r="AF30" s="20" t="inlineStr">
        <is>
          <t>Other credible third-party source (FPDS/USASpending-derived)</t>
        </is>
      </c>
      <c r="AG30" s="20" t="inlineStr">
        <is>
          <t>Secondary / aggregator</t>
        </is>
      </c>
      <c r="AH30" s="20" t="inlineStr">
        <is>
          <t>High</t>
        </is>
      </c>
      <c r="AI30" s="20" t="inlineStr">
        <is>
          <t>Development milestone under the ULCANS IDIQ. Multiple public transaction dates on the same PIID are consolidated to one event.</t>
        </is>
      </c>
      <c r="AJ30" s="20" t="inlineStr">
        <is>
          <t>Yes</t>
        </is>
      </c>
      <c r="AK30" s="20" t="inlineStr">
        <is>
          <t>No</t>
        </is>
      </c>
      <c r="AL30" s="20" t="inlineStr">
        <is>
          <t>No</t>
        </is>
      </c>
      <c r="AM30" s="20" t="inlineStr">
        <is>
          <t>No</t>
        </is>
      </c>
      <c r="AN30" s="20" t="inlineStr">
        <is>
          <t>No</t>
        </is>
      </c>
      <c r="AO30" s="20" t="inlineStr">
        <is>
          <t>Yes</t>
        </is>
      </c>
      <c r="AP30" s="20" t="inlineStr">
        <is>
          <t>Included in Land core</t>
        </is>
      </c>
      <c r="AQ30" s="92" t="n">
        <v>0</v>
      </c>
      <c r="AR30" s="92" t="n">
        <v>0</v>
      </c>
      <c r="AS30" s="92" t="n">
        <v>0</v>
      </c>
      <c r="AT30" s="92" t="n">
        <v>0</v>
      </c>
      <c r="AU30" s="92" t="n">
        <v>0</v>
      </c>
      <c r="AV30" s="92" t="n">
        <v>0</v>
      </c>
      <c r="AW30" s="92" t="n">
        <v>0</v>
      </c>
    </row>
    <row r="31">
      <c r="A31" s="20" t="inlineStr">
        <is>
          <t>SM-0027</t>
        </is>
      </c>
      <c r="B31" s="20" t="inlineStr">
        <is>
          <t>PPG-FA930221D0009</t>
        </is>
      </c>
      <c r="C31" s="98" t="inlineStr">
        <is>
          <t>2021-09-15</t>
        </is>
      </c>
      <c r="D31" s="92" t="n">
        <v>2021</v>
      </c>
      <c r="E31" s="20" t="inlineStr">
        <is>
          <t>United States</t>
        </is>
      </c>
      <c r="F31" s="20" t="inlineStr">
        <is>
          <t>Air Force Test Center / 412th Test Wing, U.S. Air Force</t>
        </is>
      </c>
      <c r="G31" s="20" t="inlineStr">
        <is>
          <t>U.S. Air Force</t>
        </is>
      </c>
      <c r="H31" s="20" t="inlineStr">
        <is>
          <t>Air Force / Aviation</t>
        </is>
      </c>
      <c r="I31" s="20" t="inlineStr">
        <is>
          <t>PPG Industries, Inc.</t>
        </is>
      </c>
      <c r="J31" s="20" t="inlineStr">
        <is>
          <t>PPG</t>
        </is>
      </c>
      <c r="K31" s="20" t="inlineStr">
        <is>
          <t>USA</t>
        </is>
      </c>
      <c r="L31" s="20" t="inlineStr">
        <is>
          <t>FA930221D0009 — Radar Absorbent Material IDIQ</t>
        </is>
      </c>
      <c r="M31" s="20" t="inlineStr">
        <is>
          <t>RAM / Composite</t>
        </is>
      </c>
      <c r="N31" s="20" t="inlineStr">
        <is>
          <t>Radar Absorbent Material (RAM)</t>
        </is>
      </c>
      <c r="O31" s="20" t="inlineStr">
        <is>
          <t>Radar / RCS</t>
        </is>
      </c>
      <c r="P31" s="20" t="inlineStr">
        <is>
          <t>Framework / IDIQ</t>
        </is>
      </c>
      <c r="Q31" s="20" t="n"/>
      <c r="R31" s="20" t="inlineStr">
        <is>
          <t>No</t>
        </is>
      </c>
      <c r="S31" s="99" t="n"/>
      <c r="T31" s="20" t="inlineStr">
        <is>
          <t>Unknown</t>
        </is>
      </c>
      <c r="U31" s="20" t="n"/>
      <c r="V31" s="100" t="n"/>
      <c r="W31" s="20" t="n"/>
      <c r="X31" s="20" t="n"/>
      <c r="Y31" s="20" t="inlineStr">
        <is>
          <t>Framework / ceiling</t>
        </is>
      </c>
      <c r="Z31" s="20" t="inlineStr">
        <is>
          <t>No</t>
        </is>
      </c>
      <c r="AA31" s="20" t="inlineStr">
        <is>
          <t>Framework</t>
        </is>
      </c>
      <c r="AB31" s="20" t="inlineStr">
        <is>
          <t>Aviation</t>
        </is>
      </c>
      <c r="AC31" s="20" t="inlineStr">
        <is>
          <t>No</t>
        </is>
      </c>
      <c r="AD31" s="20" t="inlineStr">
        <is>
          <t>Aviation-only</t>
        </is>
      </c>
      <c r="AE31" s="20" t="inlineStr">
        <is>
          <t>https://www.federalcompass.com/award-contract-detail/FA930221D0009</t>
        </is>
      </c>
      <c r="AF31" s="20" t="inlineStr">
        <is>
          <t>Other credible third-party source (FPDS-derived)</t>
        </is>
      </c>
      <c r="AG31" s="20" t="inlineStr">
        <is>
          <t>Secondary / aggregator</t>
        </is>
      </c>
      <c r="AH31" s="20" t="inlineStr">
        <is>
          <t>High</t>
        </is>
      </c>
      <c r="AI31" s="20" t="inlineStr">
        <is>
          <t>Framework ceiling only — not actual sales. Actual task-order obligations are recorded separately and must not be added to the ceiling.</t>
        </is>
      </c>
      <c r="AJ31" s="20" t="inlineStr">
        <is>
          <t>Yes</t>
        </is>
      </c>
      <c r="AK31" s="20" t="inlineStr">
        <is>
          <t>No</t>
        </is>
      </c>
      <c r="AL31" s="20" t="inlineStr">
        <is>
          <t>No</t>
        </is>
      </c>
      <c r="AM31" s="20" t="inlineStr">
        <is>
          <t>No</t>
        </is>
      </c>
      <c r="AN31" s="20" t="inlineStr">
        <is>
          <t>No</t>
        </is>
      </c>
      <c r="AO31" s="20" t="inlineStr">
        <is>
          <t>Yes</t>
        </is>
      </c>
      <c r="AP31" s="20" t="inlineStr">
        <is>
          <t>Retained as contextual; excluded from Land core</t>
        </is>
      </c>
      <c r="AQ31" s="92" t="n">
        <v>0</v>
      </c>
      <c r="AR31" s="92" t="n">
        <v>0</v>
      </c>
      <c r="AS31" s="92" t="n">
        <v>0</v>
      </c>
      <c r="AT31" s="92" t="n">
        <v>0</v>
      </c>
      <c r="AU31" s="92" t="n">
        <v>0</v>
      </c>
      <c r="AV31" s="92" t="n">
        <v>0</v>
      </c>
      <c r="AW31" s="92" t="n">
        <v>0</v>
      </c>
    </row>
    <row r="32">
      <c r="A32" s="20" t="inlineStr">
        <is>
          <t>SM-0028</t>
        </is>
      </c>
      <c r="B32" s="20" t="inlineStr">
        <is>
          <t>PPG-FA930221D0009</t>
        </is>
      </c>
      <c r="C32" s="98" t="inlineStr">
        <is>
          <t>2021-09-16</t>
        </is>
      </c>
      <c r="D32" s="92" t="n">
        <v>2021</v>
      </c>
      <c r="E32" s="20" t="inlineStr">
        <is>
          <t>United States</t>
        </is>
      </c>
      <c r="F32" s="20" t="inlineStr">
        <is>
          <t>Air Force Test Center / 412th Test Wing, U.S. Air Force</t>
        </is>
      </c>
      <c r="G32" s="20" t="inlineStr">
        <is>
          <t>U.S. Air Force</t>
        </is>
      </c>
      <c r="H32" s="20" t="inlineStr">
        <is>
          <t>Air Force / Aviation</t>
        </is>
      </c>
      <c r="I32" s="20" t="inlineStr">
        <is>
          <t>PPG Industries, Inc.</t>
        </is>
      </c>
      <c r="J32" s="20" t="inlineStr">
        <is>
          <t>PPG</t>
        </is>
      </c>
      <c r="K32" s="20" t="inlineStr">
        <is>
          <t>USA</t>
        </is>
      </c>
      <c r="L32" s="20" t="inlineStr">
        <is>
          <t>FA930221F0115 under FA930221D0009 RAM IDIQ</t>
        </is>
      </c>
      <c r="M32" s="20" t="inlineStr">
        <is>
          <t>RAM / Composite</t>
        </is>
      </c>
      <c r="N32" s="20" t="inlineStr">
        <is>
          <t>Radar Absorbent Material (RAM)</t>
        </is>
      </c>
      <c r="O32" s="20" t="inlineStr">
        <is>
          <t>Radar / RCS</t>
        </is>
      </c>
      <c r="P32" s="20" t="inlineStr">
        <is>
          <t>Order</t>
        </is>
      </c>
      <c r="Q32" s="20" t="n"/>
      <c r="R32" s="20" t="inlineStr">
        <is>
          <t>Yes</t>
        </is>
      </c>
      <c r="S32" s="99" t="n"/>
      <c r="T32" s="20" t="inlineStr">
        <is>
          <t>Unknown</t>
        </is>
      </c>
      <c r="U32" s="20" t="n"/>
      <c r="V32" s="100" t="inlineStr">
        <is>
          <t>536900.0</t>
        </is>
      </c>
      <c r="W32" s="20" t="inlineStr">
        <is>
          <t>USD</t>
        </is>
      </c>
      <c r="X32" s="20" t="n"/>
      <c r="Y32" s="20" t="inlineStr">
        <is>
          <t>Obligated / signed if disclosed</t>
        </is>
      </c>
      <c r="Z32" s="20" t="inlineStr">
        <is>
          <t>No</t>
        </is>
      </c>
      <c r="AA32" s="20" t="inlineStr">
        <is>
          <t>Production Procurement</t>
        </is>
      </c>
      <c r="AB32" s="20" t="inlineStr">
        <is>
          <t>Aviation</t>
        </is>
      </c>
      <c r="AC32" s="20" t="inlineStr">
        <is>
          <t>No</t>
        </is>
      </c>
      <c r="AD32" s="20" t="inlineStr">
        <is>
          <t>Aviation-only</t>
        </is>
      </c>
      <c r="AE32" s="20" t="inlineStr">
        <is>
          <t>https://www.federalcompass.com/award-contract-detail/FA930221D0009</t>
        </is>
      </c>
      <c r="AF32" s="20" t="inlineStr">
        <is>
          <t>Other credible third-party source (FPDS-derived)</t>
        </is>
      </c>
      <c r="AG32" s="20" t="inlineStr">
        <is>
          <t>Secondary / aggregator</t>
        </is>
      </c>
      <c r="AH32" s="20" t="inlineStr">
        <is>
          <t>High</t>
        </is>
      </c>
      <c r="AI32" s="20" t="inlineStr">
        <is>
          <t>Actual task-order obligation. Federal Compass reports the amount rounded to the nearest $0.1k; do not add the parent IDIQ ceiling as sales.</t>
        </is>
      </c>
      <c r="AJ32" s="20" t="inlineStr">
        <is>
          <t>Yes</t>
        </is>
      </c>
      <c r="AK32" s="20" t="inlineStr">
        <is>
          <t>No</t>
        </is>
      </c>
      <c r="AL32" s="20" t="inlineStr">
        <is>
          <t>No</t>
        </is>
      </c>
      <c r="AM32" s="20" t="inlineStr">
        <is>
          <t>No</t>
        </is>
      </c>
      <c r="AN32" s="20" t="inlineStr">
        <is>
          <t>No</t>
        </is>
      </c>
      <c r="AO32" s="20" t="inlineStr">
        <is>
          <t>Yes</t>
        </is>
      </c>
      <c r="AP32" s="20" t="inlineStr">
        <is>
          <t>Retained as contextual; excluded from Land core</t>
        </is>
      </c>
      <c r="AQ32" s="92" t="n">
        <v>0</v>
      </c>
      <c r="AR32" s="92" t="n">
        <v>0</v>
      </c>
      <c r="AS32" s="92" t="n">
        <v>0</v>
      </c>
      <c r="AT32" s="92" t="n">
        <v>0</v>
      </c>
      <c r="AU32" s="92" t="n">
        <v>0</v>
      </c>
      <c r="AV32" s="92" t="n">
        <v>0</v>
      </c>
      <c r="AW32" s="92" t="n">
        <v>0</v>
      </c>
    </row>
    <row r="33">
      <c r="A33" s="20" t="inlineStr">
        <is>
          <t>SM-0029</t>
        </is>
      </c>
      <c r="B33" s="20" t="inlineStr">
        <is>
          <t>MAST-N0010421DYW01</t>
        </is>
      </c>
      <c r="C33" s="98" t="inlineStr">
        <is>
          <t>2021-09-23</t>
        </is>
      </c>
      <c r="D33" s="92" t="n">
        <v>2021</v>
      </c>
      <c r="E33" s="20" t="inlineStr">
        <is>
          <t>United States</t>
        </is>
      </c>
      <c r="F33" s="20" t="inlineStr">
        <is>
          <t>NAVSUP Weapon Systems Support, U.S. Navy</t>
        </is>
      </c>
      <c r="G33" s="20" t="inlineStr">
        <is>
          <t>U.S. Navy</t>
        </is>
      </c>
      <c r="H33" s="20" t="inlineStr">
        <is>
          <t>Navy</t>
        </is>
      </c>
      <c r="I33" s="20" t="inlineStr">
        <is>
          <t>MAST Technologies, Inc.</t>
        </is>
      </c>
      <c r="J33" s="20" t="inlineStr">
        <is>
          <t>MAST Technologies</t>
        </is>
      </c>
      <c r="K33" s="20" t="inlineStr">
        <is>
          <t>USA</t>
        </is>
      </c>
      <c r="L33" s="20" t="inlineStr">
        <is>
          <t>N0010421DYW01 — Type 18 rubber tiles for Navy radar/passive countermeasure system</t>
        </is>
      </c>
      <c r="M33" s="20" t="inlineStr">
        <is>
          <t>RAM / Composite</t>
        </is>
      </c>
      <c r="N33" s="20" t="inlineStr">
        <is>
          <t>Type 18 rubber tiles, NSN 5840-01-464-5293 / part 7338388</t>
        </is>
      </c>
      <c r="O33" s="20" t="inlineStr">
        <is>
          <t>Radar / RCS</t>
        </is>
      </c>
      <c r="P33" s="20" t="inlineStr">
        <is>
          <t>Framework / IDIQ</t>
        </is>
      </c>
      <c r="Q33" s="20" t="n"/>
      <c r="R33" s="20" t="inlineStr">
        <is>
          <t>No</t>
        </is>
      </c>
      <c r="S33" s="99" t="inlineStr">
        <is>
          <t>16000</t>
        </is>
      </c>
      <c r="T33" s="20" t="inlineStr">
        <is>
          <t>units</t>
        </is>
      </c>
      <c r="U33" s="20" t="n"/>
      <c r="V33" s="100" t="n"/>
      <c r="W33" s="20" t="n"/>
      <c r="X33" s="20" t="n"/>
      <c r="Y33" s="20" t="inlineStr">
        <is>
          <t>Framework / ceiling</t>
        </is>
      </c>
      <c r="Z33" s="20" t="inlineStr">
        <is>
          <t>No</t>
        </is>
      </c>
      <c r="AA33" s="20" t="inlineStr">
        <is>
          <t>Framework</t>
        </is>
      </c>
      <c r="AB33" s="20" t="inlineStr">
        <is>
          <t>Maritime</t>
        </is>
      </c>
      <c r="AC33" s="20" t="inlineStr">
        <is>
          <t>No</t>
        </is>
      </c>
      <c r="AD33" s="20" t="inlineStr">
        <is>
          <t>Maritime/contextual</t>
        </is>
      </c>
      <c r="AE33" s="20" t="inlineStr">
        <is>
          <t>https://www.federalcompass.com/award-contract-detail/N0010421DYW01</t>
        </is>
      </c>
      <c r="AF33" s="20" t="inlineStr">
        <is>
          <t>Official/FPDS-derived procurement source plus product/NSN cross-reference</t>
        </is>
      </c>
      <c r="AG33" s="20" t="inlineStr">
        <is>
          <t>Secondary / aggregator</t>
        </is>
      </c>
      <c r="AH33" s="20" t="inlineStr">
        <is>
          <t>High</t>
        </is>
      </c>
      <c r="AI33" s="20" t="inlineStr">
        <is>
          <t>Framework ceiling only; do not count as actual sales. The associated task order is recorded separately.</t>
        </is>
      </c>
      <c r="AJ33" s="20" t="inlineStr">
        <is>
          <t>Yes</t>
        </is>
      </c>
      <c r="AK33" s="20" t="inlineStr">
        <is>
          <t>No</t>
        </is>
      </c>
      <c r="AL33" s="20" t="inlineStr">
        <is>
          <t>No</t>
        </is>
      </c>
      <c r="AM33" s="20" t="inlineStr">
        <is>
          <t>No</t>
        </is>
      </c>
      <c r="AN33" s="20" t="inlineStr">
        <is>
          <t>No</t>
        </is>
      </c>
      <c r="AO33" s="20" t="inlineStr">
        <is>
          <t>Yes</t>
        </is>
      </c>
      <c r="AP33" s="20" t="inlineStr">
        <is>
          <t>Retained as contextual; excluded from Land core</t>
        </is>
      </c>
      <c r="AQ33" s="92" t="n">
        <v>0</v>
      </c>
      <c r="AR33" s="92" t="n">
        <v>0</v>
      </c>
      <c r="AS33" s="92" t="n">
        <v>0</v>
      </c>
      <c r="AT33" s="92" t="n">
        <v>0</v>
      </c>
      <c r="AU33" s="92" t="n">
        <v>0</v>
      </c>
      <c r="AV33" s="92" t="n">
        <v>0</v>
      </c>
      <c r="AW33" s="92" t="n">
        <v>0</v>
      </c>
    </row>
    <row r="34">
      <c r="A34" s="20" t="inlineStr">
        <is>
          <t>SM-0030</t>
        </is>
      </c>
      <c r="B34" s="20" t="inlineStr">
        <is>
          <t>MAST-N0010421DYW01</t>
        </is>
      </c>
      <c r="C34" s="98" t="inlineStr">
        <is>
          <t>2021-09-23</t>
        </is>
      </c>
      <c r="D34" s="92" t="n">
        <v>2021</v>
      </c>
      <c r="E34" s="20" t="inlineStr">
        <is>
          <t>United States</t>
        </is>
      </c>
      <c r="F34" s="20" t="inlineStr">
        <is>
          <t>NAVSUP Weapon Systems Support, U.S. Navy</t>
        </is>
      </c>
      <c r="G34" s="20" t="inlineStr">
        <is>
          <t>U.S. Navy</t>
        </is>
      </c>
      <c r="H34" s="20" t="inlineStr">
        <is>
          <t>Navy</t>
        </is>
      </c>
      <c r="I34" s="20" t="inlineStr">
        <is>
          <t>MAST Technologies, Inc.</t>
        </is>
      </c>
      <c r="J34" s="20" t="inlineStr">
        <is>
          <t>MAST Technologies</t>
        </is>
      </c>
      <c r="K34" s="20" t="inlineStr">
        <is>
          <t>USA</t>
        </is>
      </c>
      <c r="L34" s="20" t="inlineStr">
        <is>
          <t>N0010421F0YW0 under N0010421DYW01</t>
        </is>
      </c>
      <c r="M34" s="20" t="inlineStr">
        <is>
          <t>RAM / Composite</t>
        </is>
      </c>
      <c r="N34" s="20" t="inlineStr">
        <is>
          <t>Type 18 rubber tiles, NSN 5840-01-464-5293 / passive countermeasure system</t>
        </is>
      </c>
      <c r="O34" s="20" t="inlineStr">
        <is>
          <t>Radar / RCS</t>
        </is>
      </c>
      <c r="P34" s="20" t="inlineStr">
        <is>
          <t>Order</t>
        </is>
      </c>
      <c r="Q34" s="20" t="n"/>
      <c r="R34" s="20" t="inlineStr">
        <is>
          <t>Yes</t>
        </is>
      </c>
      <c r="S34" s="99" t="n"/>
      <c r="T34" s="20" t="inlineStr">
        <is>
          <t>Unknown</t>
        </is>
      </c>
      <c r="U34" s="20" t="n"/>
      <c r="V34" s="100" t="inlineStr">
        <is>
          <t>5299784.0</t>
        </is>
      </c>
      <c r="W34" s="20" t="inlineStr">
        <is>
          <t>USD</t>
        </is>
      </c>
      <c r="X34" s="20" t="n"/>
      <c r="Y34" s="20" t="inlineStr">
        <is>
          <t>Obligated / signed if disclosed</t>
        </is>
      </c>
      <c r="Z34" s="20" t="inlineStr">
        <is>
          <t>No</t>
        </is>
      </c>
      <c r="AA34" s="20" t="inlineStr">
        <is>
          <t>Production Procurement</t>
        </is>
      </c>
      <c r="AB34" s="20" t="inlineStr">
        <is>
          <t>Maritime</t>
        </is>
      </c>
      <c r="AC34" s="20" t="inlineStr">
        <is>
          <t>No</t>
        </is>
      </c>
      <c r="AD34" s="20" t="inlineStr">
        <is>
          <t>Maritime/contextual</t>
        </is>
      </c>
      <c r="AE34" s="20" t="inlineStr">
        <is>
          <t>https://www.fpds.gov/ezsearch/fpdsportal?indexName=icdindex&amp;length=186&amp;q=N0010421DYW01</t>
        </is>
      </c>
      <c r="AF34" s="20" t="inlineStr">
        <is>
          <t>Official FPDS / FPDS-derived procurement source</t>
        </is>
      </c>
      <c r="AG34" s="20" t="inlineStr">
        <is>
          <t>Secondary / aggregator</t>
        </is>
      </c>
      <c r="AH34" s="20" t="inlineStr">
        <is>
          <t>High</t>
        </is>
      </c>
      <c r="AI34" s="20" t="inlineStr">
        <is>
          <t>Actual order/obligation; do not add the parent IDIQ ceiling. One commercial transaction linked to the same-day framework award.</t>
        </is>
      </c>
      <c r="AJ34" s="20" t="inlineStr">
        <is>
          <t>Yes</t>
        </is>
      </c>
      <c r="AK34" s="20" t="inlineStr">
        <is>
          <t>No</t>
        </is>
      </c>
      <c r="AL34" s="20" t="inlineStr">
        <is>
          <t>No</t>
        </is>
      </c>
      <c r="AM34" s="20" t="inlineStr">
        <is>
          <t>No</t>
        </is>
      </c>
      <c r="AN34" s="20" t="inlineStr">
        <is>
          <t>No</t>
        </is>
      </c>
      <c r="AO34" s="20" t="inlineStr">
        <is>
          <t>Yes</t>
        </is>
      </c>
      <c r="AP34" s="20" t="inlineStr">
        <is>
          <t>Retained as contextual; excluded from Land core</t>
        </is>
      </c>
      <c r="AQ34" s="92" t="n">
        <v>0</v>
      </c>
      <c r="AR34" s="92" t="n">
        <v>0</v>
      </c>
      <c r="AS34" s="92" t="n">
        <v>0</v>
      </c>
      <c r="AT34" s="92" t="n">
        <v>0</v>
      </c>
      <c r="AU34" s="92" t="n">
        <v>0</v>
      </c>
      <c r="AV34" s="92" t="n">
        <v>0</v>
      </c>
      <c r="AW34" s="92" t="n">
        <v>0</v>
      </c>
    </row>
    <row r="35">
      <c r="A35" s="20" t="inlineStr">
        <is>
          <t>SM-0031</t>
        </is>
      </c>
      <c r="B35" s="20" t="inlineStr">
        <is>
          <t>AME-N0017321P0970</t>
        </is>
      </c>
      <c r="C35" s="98" t="inlineStr">
        <is>
          <t>2021-09-29</t>
        </is>
      </c>
      <c r="D35" s="92" t="n">
        <v>2021</v>
      </c>
      <c r="E35" s="20" t="inlineStr">
        <is>
          <t>United States</t>
        </is>
      </c>
      <c r="F35" s="20" t="inlineStr">
        <is>
          <t>Office of Naval Research / Naval Research Laboratory, U.S. Navy</t>
        </is>
      </c>
      <c r="G35" s="20" t="inlineStr">
        <is>
          <t>U.S. NRL / ONR</t>
        </is>
      </c>
      <c r="H35" s="20" t="inlineStr">
        <is>
          <t>Navy</t>
        </is>
      </c>
      <c r="I35" s="20" t="inlineStr">
        <is>
          <t>Ametrine Inc. / Ametrine Technologies</t>
        </is>
      </c>
      <c r="J35" s="20" t="inlineStr">
        <is>
          <t>Ametrine Technologies</t>
        </is>
      </c>
      <c r="K35" s="20" t="inlineStr">
        <is>
          <t>USA</t>
        </is>
      </c>
      <c r="L35" s="20" t="inlineStr">
        <is>
          <t>N0017321P0970</t>
        </is>
      </c>
      <c r="M35" s="20" t="inlineStr">
        <is>
          <t>Nets / Covers</t>
        </is>
      </c>
      <c r="N35" s="20" t="inlineStr">
        <is>
          <t>Multispectral Camouflage system</t>
        </is>
      </c>
      <c r="O35" s="20" t="inlineStr">
        <is>
          <t>Multispectral</t>
        </is>
      </c>
      <c r="P35" s="20" t="inlineStr">
        <is>
          <t>Order</t>
        </is>
      </c>
      <c r="Q35" s="20" t="n"/>
      <c r="R35" s="20" t="inlineStr">
        <is>
          <t>Yes</t>
        </is>
      </c>
      <c r="S35" s="99" t="n"/>
      <c r="T35" s="20" t="inlineStr">
        <is>
          <t>Unknown</t>
        </is>
      </c>
      <c r="U35" s="20" t="n"/>
      <c r="V35" s="100" t="inlineStr">
        <is>
          <t>177000.0</t>
        </is>
      </c>
      <c r="W35" s="20" t="inlineStr">
        <is>
          <t>USD</t>
        </is>
      </c>
      <c r="X35" s="20" t="n"/>
      <c r="Y35" s="20" t="inlineStr">
        <is>
          <t>Obligated / signed if disclosed</t>
        </is>
      </c>
      <c r="Z35" s="20" t="inlineStr">
        <is>
          <t>No</t>
        </is>
      </c>
      <c r="AA35" s="20" t="inlineStr">
        <is>
          <t>Production Procurement</t>
        </is>
      </c>
      <c r="AB35" s="20" t="inlineStr">
        <is>
          <t>Other / Contextual</t>
        </is>
      </c>
      <c r="AC35" s="20" t="inlineStr">
        <is>
          <t>No</t>
        </is>
      </c>
      <c r="AD35" s="20" t="inlineStr">
        <is>
          <t>End use / platform not publicly established; NRL/ONR buyer alone does not establish maritime or land domain</t>
        </is>
      </c>
      <c r="AE35" s="20" t="inlineStr">
        <is>
          <t>https://govtribe.com/award/federal-contract-award/definitive-contract-n0017325c2461</t>
        </is>
      </c>
      <c r="AF35" s="20" t="inlineStr">
        <is>
          <t>Other credible third-party source (federal procurement record)</t>
        </is>
      </c>
      <c r="AG35" s="20" t="inlineStr">
        <is>
          <t>Secondary / aggregator</t>
        </is>
      </c>
      <c r="AH35" s="20" t="inlineStr">
        <is>
          <t>High</t>
        </is>
      </c>
      <c r="AI35" s="20" t="inlineStr">
        <is>
          <t>Distinct purchase order. A separate older multispectral-mesh PO N0017320P0084 was found but not added because the public snippet did not expose an award date sufficient to prove it fell after 1 Jan 2020.</t>
        </is>
      </c>
      <c r="AJ35" s="20" t="inlineStr">
        <is>
          <t>Yes</t>
        </is>
      </c>
      <c r="AK35" s="20" t="inlineStr">
        <is>
          <t>Yes</t>
        </is>
      </c>
      <c r="AL35" s="20" t="inlineStr">
        <is>
          <t>No</t>
        </is>
      </c>
      <c r="AM35" s="20" t="inlineStr">
        <is>
          <t>No</t>
        </is>
      </c>
      <c r="AN35" s="20" t="inlineStr">
        <is>
          <t>No</t>
        </is>
      </c>
      <c r="AO35" s="20" t="inlineStr">
        <is>
          <t>No</t>
        </is>
      </c>
      <c r="AP35" s="20" t="inlineStr">
        <is>
          <t>Retained as contextual; excluded from Land core</t>
        </is>
      </c>
      <c r="AQ35" s="92" t="n">
        <v>0</v>
      </c>
      <c r="AR35" s="92" t="n">
        <v>0</v>
      </c>
      <c r="AS35" s="92" t="n">
        <v>0</v>
      </c>
      <c r="AT35" s="92" t="n">
        <v>0</v>
      </c>
      <c r="AU35" s="92" t="n">
        <v>0</v>
      </c>
      <c r="AV35" s="92" t="n">
        <v>0</v>
      </c>
      <c r="AW35" s="92" t="n">
        <v>0</v>
      </c>
    </row>
    <row r="36">
      <c r="A36" s="20" t="inlineStr">
        <is>
          <t>SM-0032</t>
        </is>
      </c>
      <c r="B36" s="20" t="inlineStr">
        <is>
          <t>PPG-FA930221D0009</t>
        </is>
      </c>
      <c r="C36" s="98" t="inlineStr">
        <is>
          <t>2021-10-27</t>
        </is>
      </c>
      <c r="D36" s="92" t="n">
        <v>2021</v>
      </c>
      <c r="E36" s="20" t="inlineStr">
        <is>
          <t>United States</t>
        </is>
      </c>
      <c r="F36" s="20" t="inlineStr">
        <is>
          <t>Air Force Test Center / 412th Test Wing, U.S. Air Force</t>
        </is>
      </c>
      <c r="G36" s="20" t="inlineStr">
        <is>
          <t>U.S. Air Force</t>
        </is>
      </c>
      <c r="H36" s="20" t="inlineStr">
        <is>
          <t>Air Force / Aviation</t>
        </is>
      </c>
      <c r="I36" s="20" t="inlineStr">
        <is>
          <t>PPG Industries, Inc.</t>
        </is>
      </c>
      <c r="J36" s="20" t="inlineStr">
        <is>
          <t>PPG</t>
        </is>
      </c>
      <c r="K36" s="20" t="inlineStr">
        <is>
          <t>USA</t>
        </is>
      </c>
      <c r="L36" s="20" t="inlineStr">
        <is>
          <t>FA930222F0005 under FA930221D0009 RAM IDIQ</t>
        </is>
      </c>
      <c r="M36" s="20" t="inlineStr">
        <is>
          <t>RAM / Composite</t>
        </is>
      </c>
      <c r="N36" s="20" t="inlineStr">
        <is>
          <t>Radar Absorbent Material (RAM)</t>
        </is>
      </c>
      <c r="O36" s="20" t="inlineStr">
        <is>
          <t>Radar / RCS</t>
        </is>
      </c>
      <c r="P36" s="20" t="inlineStr">
        <is>
          <t>Order</t>
        </is>
      </c>
      <c r="Q36" s="20" t="n"/>
      <c r="R36" s="20" t="inlineStr">
        <is>
          <t>Yes</t>
        </is>
      </c>
      <c r="S36" s="99" t="n"/>
      <c r="T36" s="20" t="inlineStr">
        <is>
          <t>Unknown</t>
        </is>
      </c>
      <c r="U36" s="20" t="n"/>
      <c r="V36" s="100" t="inlineStr">
        <is>
          <t>249900.0</t>
        </is>
      </c>
      <c r="W36" s="20" t="inlineStr">
        <is>
          <t>USD</t>
        </is>
      </c>
      <c r="X36" s="20" t="n"/>
      <c r="Y36" s="20" t="inlineStr">
        <is>
          <t>Obligated / signed if disclosed</t>
        </is>
      </c>
      <c r="Z36" s="20" t="inlineStr">
        <is>
          <t>No</t>
        </is>
      </c>
      <c r="AA36" s="20" t="inlineStr">
        <is>
          <t>Production Procurement</t>
        </is>
      </c>
      <c r="AB36" s="20" t="inlineStr">
        <is>
          <t>Aviation</t>
        </is>
      </c>
      <c r="AC36" s="20" t="inlineStr">
        <is>
          <t>No</t>
        </is>
      </c>
      <c r="AD36" s="20" t="inlineStr">
        <is>
          <t>Aviation-only</t>
        </is>
      </c>
      <c r="AE36" s="20" t="inlineStr">
        <is>
          <t>https://www.federalcompass.com/award-contract-detail/FA930221D0009</t>
        </is>
      </c>
      <c r="AF36" s="20" t="inlineStr">
        <is>
          <t>Other credible third-party source (FPDS-derived)</t>
        </is>
      </c>
      <c r="AG36" s="20" t="inlineStr">
        <is>
          <t>Secondary / aggregator</t>
        </is>
      </c>
      <c r="AH36" s="20" t="inlineStr">
        <is>
          <t>High</t>
        </is>
      </c>
      <c r="AI36" s="20" t="inlineStr">
        <is>
          <t>Actual task-order obligation. Federal Compass reports the amount rounded to the nearest $0.1k; do not add the parent IDIQ ceiling as sales.</t>
        </is>
      </c>
      <c r="AJ36" s="20" t="inlineStr">
        <is>
          <t>Yes</t>
        </is>
      </c>
      <c r="AK36" s="20" t="inlineStr">
        <is>
          <t>No</t>
        </is>
      </c>
      <c r="AL36" s="20" t="inlineStr">
        <is>
          <t>No</t>
        </is>
      </c>
      <c r="AM36" s="20" t="inlineStr">
        <is>
          <t>No</t>
        </is>
      </c>
      <c r="AN36" s="20" t="inlineStr">
        <is>
          <t>No</t>
        </is>
      </c>
      <c r="AO36" s="20" t="inlineStr">
        <is>
          <t>Yes</t>
        </is>
      </c>
      <c r="AP36" s="20" t="inlineStr">
        <is>
          <t>Retained as contextual; excluded from Land core</t>
        </is>
      </c>
      <c r="AQ36" s="92" t="n">
        <v>0</v>
      </c>
      <c r="AR36" s="92" t="n">
        <v>0</v>
      </c>
      <c r="AS36" s="92" t="n">
        <v>0</v>
      </c>
      <c r="AT36" s="92" t="n">
        <v>0</v>
      </c>
      <c r="AU36" s="92" t="n">
        <v>0</v>
      </c>
      <c r="AV36" s="92" t="n">
        <v>0</v>
      </c>
      <c r="AW36" s="92" t="n">
        <v>0</v>
      </c>
    </row>
    <row r="37">
      <c r="A37" s="20" t="inlineStr">
        <is>
          <t>SM-0034</t>
        </is>
      </c>
      <c r="B37" s="20" t="inlineStr">
        <is>
          <t>FR-FENRIR</t>
        </is>
      </c>
      <c r="C37" s="98" t="inlineStr">
        <is>
          <t>2022-01-13</t>
        </is>
      </c>
      <c r="D37" s="92" t="n">
        <v>2022</v>
      </c>
      <c r="E37" s="20" t="inlineStr">
        <is>
          <t>France</t>
        </is>
      </c>
      <c r="F37" s="20" t="inlineStr">
        <is>
          <t>Direction générale de l'armement (DGA)</t>
        </is>
      </c>
      <c r="G37" s="20" t="inlineStr">
        <is>
          <t>French DGA</t>
        </is>
      </c>
      <c r="H37" s="20" t="inlineStr">
        <is>
          <t>Defence / not disclosed</t>
        </is>
      </c>
      <c r="I37" s="20" t="inlineStr">
        <is>
          <t>Saab AB / Saab Barracuda AB</t>
        </is>
      </c>
      <c r="J37" s="20" t="inlineStr">
        <is>
          <t>Saab Barracuda</t>
        </is>
      </c>
      <c r="K37" s="20" t="inlineStr">
        <is>
          <t>Sweden</t>
        </is>
      </c>
      <c r="L37" s="20" t="inlineStr">
        <is>
          <t>FENRIR — French Army command posts, vehicles, weapons and sensors</t>
        </is>
      </c>
      <c r="M37" s="20" t="inlineStr">
        <is>
          <t>Nets / Covers</t>
        </is>
      </c>
      <c r="N37" s="20" t="inlineStr">
        <is>
          <t>Barracuda multispectral camouflage systems (framework, incl. system adaptation phase)</t>
        </is>
      </c>
      <c r="O37" s="20" t="inlineStr">
        <is>
          <t>Multispectral</t>
        </is>
      </c>
      <c r="P37" s="20" t="inlineStr">
        <is>
          <t>Framework / IDIQ</t>
        </is>
      </c>
      <c r="Q37" s="20" t="n"/>
      <c r="R37" s="20" t="inlineStr">
        <is>
          <t>No</t>
        </is>
      </c>
      <c r="S37" s="99" t="n"/>
      <c r="T37" s="20" t="inlineStr">
        <is>
          <t>Unknown</t>
        </is>
      </c>
      <c r="U37" s="20" t="n"/>
      <c r="V37" s="100" t="n"/>
      <c r="W37" s="20" t="n"/>
      <c r="X37" s="20" t="n"/>
      <c r="Y37" s="20" t="inlineStr">
        <is>
          <t>Framework / ceiling</t>
        </is>
      </c>
      <c r="Z37" s="20" t="inlineStr">
        <is>
          <t>No</t>
        </is>
      </c>
      <c r="AA37" s="20" t="inlineStr">
        <is>
          <t>Framework</t>
        </is>
      </c>
      <c r="AB37" s="20" t="inlineStr">
        <is>
          <t>Land</t>
        </is>
      </c>
      <c r="AC37" s="20" t="inlineStr">
        <is>
          <t>Yes</t>
        </is>
      </c>
      <c r="AD37" s="20" t="n"/>
      <c r="AE37" s="20" t="inlineStr">
        <is>
          <t>https://www.saab.com/newsroom/press-releases/2022/saab-provides-camouflage-systems-to-france</t>
        </is>
      </c>
      <c r="AF37" s="20" t="inlineStr">
        <is>
          <t>Official company announcement</t>
        </is>
      </c>
      <c r="AG37" s="20" t="inlineStr">
        <is>
          <t>Supplier / prime announcement</t>
        </is>
      </c>
      <c r="AH37" s="20" t="inlineStr">
        <is>
          <t>High</t>
        </is>
      </c>
      <c r="AI37" s="20" t="inlineStr">
        <is>
          <t>FRAMEWORK ONLY — no value or ceiling disclosed, so nothing to add to order totals. This is the parent of SAA-2024-01 (DGA order, 21 Jan 2024, 3,000 nets, EUR 20m). Count the framework and the order as two milestones and ONE transaction. Also resolves a known date trap: some secondary Saab copy describes a "new DGA contract in early 2023" — that is imprecise phrasing for this Jan 2022 framework and must not be logged as a separate 2023 event.</t>
        </is>
      </c>
      <c r="AJ37" s="20" t="inlineStr">
        <is>
          <t>Yes</t>
        </is>
      </c>
      <c r="AK37" s="20" t="inlineStr">
        <is>
          <t>No</t>
        </is>
      </c>
      <c r="AL37" s="20" t="inlineStr">
        <is>
          <t>No</t>
        </is>
      </c>
      <c r="AM37" s="20" t="inlineStr">
        <is>
          <t>No</t>
        </is>
      </c>
      <c r="AN37" s="20" t="inlineStr">
        <is>
          <t>No</t>
        </is>
      </c>
      <c r="AO37" s="20" t="inlineStr">
        <is>
          <t>Yes</t>
        </is>
      </c>
      <c r="AP37" s="20" t="inlineStr">
        <is>
          <t>Included in Land core</t>
        </is>
      </c>
      <c r="AQ37" s="92" t="n">
        <v>1</v>
      </c>
      <c r="AR37" s="92" t="n">
        <v>0</v>
      </c>
      <c r="AS37" s="92" t="n">
        <v>1</v>
      </c>
      <c r="AT37" s="92" t="n">
        <v>1</v>
      </c>
      <c r="AU37" s="92" t="n">
        <v>1</v>
      </c>
      <c r="AV37" s="92" t="n">
        <v>1</v>
      </c>
      <c r="AW37" s="92" t="n">
        <v>0</v>
      </c>
    </row>
    <row r="38">
      <c r="A38" s="20" t="inlineStr">
        <is>
          <t>SM-0035</t>
        </is>
      </c>
      <c r="B38" s="20" t="inlineStr">
        <is>
          <t>PL-WISLA-CAMO</t>
        </is>
      </c>
      <c r="C38" s="98" t="inlineStr">
        <is>
          <t>2022-01-20</t>
        </is>
      </c>
      <c r="D38" s="92" t="n">
        <v>2022</v>
      </c>
      <c r="E38" s="20" t="inlineStr">
        <is>
          <t>Poland</t>
        </is>
      </c>
      <c r="F38" s="20" t="inlineStr">
        <is>
          <t>Armament Agency (formerly Armament Inspectorate), Polish MoD</t>
        </is>
      </c>
      <c r="G38" s="20" t="inlineStr">
        <is>
          <t>Polish Armament Agency / predecessor Armament Inspectorate</t>
        </is>
      </c>
      <c r="H38" s="20" t="inlineStr">
        <is>
          <t>Defence / not disclosed</t>
        </is>
      </c>
      <c r="I38" s="20" t="inlineStr">
        <is>
          <t>Miranda Sp. z o.o. (Lubawa Group)</t>
        </is>
      </c>
      <c r="J38" s="20" t="inlineStr">
        <is>
          <t>Miranda Textiles</t>
        </is>
      </c>
      <c r="K38" s="20" t="inlineStr">
        <is>
          <t>Poland</t>
        </is>
      </c>
      <c r="L38" s="20" t="inlineStr">
        <is>
          <t>WISŁA Phase 1 — Patriot air and missile defence</t>
        </is>
      </c>
      <c r="M38" s="20" t="inlineStr">
        <is>
          <t>Nets / Covers</t>
        </is>
      </c>
      <c r="N38" s="20" t="inlineStr">
        <is>
          <t>Camouflage and deception systems for WISŁA / Patriot batteries</t>
        </is>
      </c>
      <c r="O38" s="20" t="inlineStr">
        <is>
          <t>Not itemised in source</t>
        </is>
      </c>
      <c r="P38" s="20" t="inlineStr">
        <is>
          <t>Contract Option / Extension</t>
        </is>
      </c>
      <c r="Q38" s="20" t="n"/>
      <c r="R38" s="20" t="inlineStr">
        <is>
          <t>Yes</t>
        </is>
      </c>
      <c r="S38" s="99" t="n"/>
      <c r="T38" s="20" t="inlineStr">
        <is>
          <t>units</t>
        </is>
      </c>
      <c r="U38" s="20" t="n"/>
      <c r="V38" s="100" t="inlineStr">
        <is>
          <t>33266150.0</t>
        </is>
      </c>
      <c r="W38" s="20" t="inlineStr">
        <is>
          <t>PLN</t>
        </is>
      </c>
      <c r="X38" s="20" t="n"/>
      <c r="Y38" s="20" t="inlineStr">
        <is>
          <t>Obligated / signed if disclosed</t>
        </is>
      </c>
      <c r="Z38" s="20" t="inlineStr">
        <is>
          <t>Yes</t>
        </is>
      </c>
      <c r="AA38" s="20" t="inlineStr">
        <is>
          <t>Production Procurement</t>
        </is>
      </c>
      <c r="AB38" s="20" t="inlineStr">
        <is>
          <t>Land</t>
        </is>
      </c>
      <c r="AC38" s="20" t="inlineStr">
        <is>
          <t>Yes</t>
        </is>
      </c>
      <c r="AD38" s="20" t="n"/>
      <c r="AE38" s="20" t="inlineStr">
        <is>
          <t>https://www.money.pl/gielda/komunikaty/6728449260451969.html</t>
        </is>
      </c>
      <c r="AF38" s="20" t="inlineStr">
        <is>
          <t>Official company regulatory announcement reported by financial news service</t>
        </is>
      </c>
      <c r="AG38" s="20" t="inlineStr">
        <is>
          <t>Primary / official</t>
        </is>
      </c>
      <c r="AH38" s="20" t="inlineStr">
        <is>
          <t>High</t>
        </is>
      </c>
      <c r="AI38" s="20" t="inlineStr">
        <is>
          <t>This is the exercise of the option that was only a potential/optional amount in MIR-2021-01. For value totals, exclude the 2021 option ceiling and count this 2022 exercised amount once.</t>
        </is>
      </c>
      <c r="AJ38" s="20" t="inlineStr">
        <is>
          <t>Yes</t>
        </is>
      </c>
      <c r="AK38" s="20" t="inlineStr">
        <is>
          <t>No</t>
        </is>
      </c>
      <c r="AL38" s="20" t="inlineStr">
        <is>
          <t>No</t>
        </is>
      </c>
      <c r="AM38" s="20" t="inlineStr">
        <is>
          <t>No</t>
        </is>
      </c>
      <c r="AN38" s="20" t="inlineStr">
        <is>
          <t>No</t>
        </is>
      </c>
      <c r="AO38" s="20" t="inlineStr">
        <is>
          <t>Yes</t>
        </is>
      </c>
      <c r="AP38" s="20" t="inlineStr">
        <is>
          <t>Included in Land core</t>
        </is>
      </c>
      <c r="AQ38" s="92" t="n">
        <v>1</v>
      </c>
      <c r="AR38" s="92" t="n">
        <v>1</v>
      </c>
      <c r="AS38" s="92" t="n">
        <v>1</v>
      </c>
      <c r="AT38" s="92" t="n">
        <v>1</v>
      </c>
      <c r="AU38" s="92" t="n">
        <v>1</v>
      </c>
      <c r="AV38" s="92" t="n">
        <v>0</v>
      </c>
      <c r="AW38" s="92" t="n">
        <v>1</v>
      </c>
    </row>
    <row r="39">
      <c r="A39" s="20" t="inlineStr">
        <is>
          <t>SM-0036</t>
        </is>
      </c>
      <c r="B39" s="20" t="inlineStr">
        <is>
          <t>ULCANS-IDV-W911QY18D0210</t>
        </is>
      </c>
      <c r="C39" s="98" t="inlineStr">
        <is>
          <t>2022-02-28</t>
        </is>
      </c>
      <c r="D39" s="92" t="n">
        <v>2022</v>
      </c>
      <c r="E39" s="20" t="inlineStr">
        <is>
          <t>United States</t>
        </is>
      </c>
      <c r="F39" s="20" t="inlineStr">
        <is>
          <t>ACC Aberdeen Proving Ground / PEO CSCSS, U.S. Army</t>
        </is>
      </c>
      <c r="G39" s="20" t="inlineStr">
        <is>
          <t>U.S. Army</t>
        </is>
      </c>
      <c r="H39" s="20" t="inlineStr">
        <is>
          <t>Army / Land</t>
        </is>
      </c>
      <c r="I39" s="20" t="inlineStr">
        <is>
          <t>Fibrotex USA Inc. / Fibrotex Technologies</t>
        </is>
      </c>
      <c r="J39" s="20" t="inlineStr">
        <is>
          <t>Fibrotex</t>
        </is>
      </c>
      <c r="K39" s="20" t="inlineStr">
        <is>
          <t>Israel / USA</t>
        </is>
      </c>
      <c r="L39" s="20" t="inlineStr">
        <is>
          <t>W911QY22F0093 — Desert/Urban Type I</t>
        </is>
      </c>
      <c r="M39" s="20" t="inlineStr">
        <is>
          <t>Nets / Covers</t>
        </is>
      </c>
      <c r="N39" s="20" t="inlineStr">
        <is>
          <t>ULCANS production system — Desert/Urban Type I</t>
        </is>
      </c>
      <c r="O39" s="20" t="inlineStr">
        <is>
          <t>Multispectral</t>
        </is>
      </c>
      <c r="P39" s="20" t="inlineStr">
        <is>
          <t>Order</t>
        </is>
      </c>
      <c r="Q39" s="20" t="n"/>
      <c r="R39" s="20" t="inlineStr">
        <is>
          <t>Yes</t>
        </is>
      </c>
      <c r="S39" s="99" t="n"/>
      <c r="T39" s="20" t="inlineStr">
        <is>
          <t>Unknown</t>
        </is>
      </c>
      <c r="U39" s="20" t="n"/>
      <c r="V39" s="100" t="inlineStr">
        <is>
          <t>483013.28</t>
        </is>
      </c>
      <c r="W39" s="20" t="inlineStr">
        <is>
          <t>USD</t>
        </is>
      </c>
      <c r="X39" s="20" t="n"/>
      <c r="Y39" s="20" t="inlineStr">
        <is>
          <t>Obligated / signed if disclosed</t>
        </is>
      </c>
      <c r="Z39" s="20" t="inlineStr">
        <is>
          <t>Yes</t>
        </is>
      </c>
      <c r="AA39" s="20" t="inlineStr">
        <is>
          <t>Production Procurement</t>
        </is>
      </c>
      <c r="AB39" s="20" t="inlineStr">
        <is>
          <t>Land</t>
        </is>
      </c>
      <c r="AC39" s="20" t="inlineStr">
        <is>
          <t>Yes</t>
        </is>
      </c>
      <c r="AD39" s="20" t="n"/>
      <c r="AE39" s="20" t="inlineStr">
        <is>
          <t>https://www.nsnlookup.com/cage/7wne0</t>
        </is>
      </c>
      <c r="AF39" s="20" t="inlineStr">
        <is>
          <t>Other credible third-party source (FPDS/USASpending-derived)</t>
        </is>
      </c>
      <c r="AG39" s="20" t="inlineStr">
        <is>
          <t>Secondary / aggregator</t>
        </is>
      </c>
      <c r="AH39" s="20" t="inlineStr">
        <is>
          <t>High</t>
        </is>
      </c>
      <c r="AI39" s="20" t="inlineStr">
        <is>
          <t>Distinct ULCANS production order.</t>
        </is>
      </c>
      <c r="AJ39" s="20" t="inlineStr">
        <is>
          <t>Yes</t>
        </is>
      </c>
      <c r="AK39" s="20" t="inlineStr">
        <is>
          <t>Yes</t>
        </is>
      </c>
      <c r="AL39" s="20" t="inlineStr">
        <is>
          <t>No</t>
        </is>
      </c>
      <c r="AM39" s="20" t="inlineStr">
        <is>
          <t>No</t>
        </is>
      </c>
      <c r="AN39" s="20" t="inlineStr">
        <is>
          <t>No</t>
        </is>
      </c>
      <c r="AO39" s="20" t="inlineStr">
        <is>
          <t>Yes</t>
        </is>
      </c>
      <c r="AP39" s="20" t="inlineStr">
        <is>
          <t>Included in Land core</t>
        </is>
      </c>
      <c r="AQ39" s="92" t="n">
        <v>1</v>
      </c>
      <c r="AR39" s="92" t="n">
        <v>1</v>
      </c>
      <c r="AS39" s="92" t="n">
        <v>1</v>
      </c>
      <c r="AT39" s="92" t="n">
        <v>1</v>
      </c>
      <c r="AU39" s="92" t="n">
        <v>1</v>
      </c>
      <c r="AV39" s="92" t="n">
        <v>0</v>
      </c>
      <c r="AW39" s="92" t="n">
        <v>1</v>
      </c>
    </row>
    <row r="40">
      <c r="A40" s="20" t="inlineStr">
        <is>
          <t>SM-0037</t>
        </is>
      </c>
      <c r="B40" s="20" t="inlineStr">
        <is>
          <t>AU-LAND8116-MCS</t>
        </is>
      </c>
      <c r="C40" s="98" t="inlineStr">
        <is>
          <t>2022-05-13</t>
        </is>
      </c>
      <c r="D40" s="92" t="n">
        <v>2022</v>
      </c>
      <c r="E40" s="20" t="inlineStr">
        <is>
          <t>Australia</t>
        </is>
      </c>
      <c r="F40" s="20" t="inlineStr">
        <is>
          <t>Hanwha Defence Australia / Australian Army</t>
        </is>
      </c>
      <c r="G40" s="20" t="inlineStr">
        <is>
          <t>Hanwha Defence Australia / Australian Army</t>
        </is>
      </c>
      <c r="H40" s="20" t="inlineStr">
        <is>
          <t>Army / Land</t>
        </is>
      </c>
      <c r="I40" s="20" t="inlineStr">
        <is>
          <t>CBG Systems</t>
        </is>
      </c>
      <c r="J40" s="20" t="inlineStr">
        <is>
          <t>CBG Systems</t>
        </is>
      </c>
      <c r="K40" s="20" t="inlineStr">
        <is>
          <t>Unknown</t>
        </is>
      </c>
      <c r="L40" s="20" t="inlineStr">
        <is>
          <t>LAND 8116</t>
        </is>
      </c>
      <c r="M40" s="20" t="inlineStr">
        <is>
          <t>AS9 SPH / AS10 AARV</t>
        </is>
      </c>
      <c r="N40" s="20" t="inlineStr">
        <is>
          <t>SolarSigmaShield MCS</t>
        </is>
      </c>
      <c r="O40" s="20" t="inlineStr">
        <is>
          <t>Multispectral</t>
        </is>
      </c>
      <c r="P40" s="20" t="inlineStr">
        <is>
          <t>Production contract</t>
        </is>
      </c>
      <c r="Q40" s="20" t="inlineStr">
        <is>
          <t>Production start</t>
        </is>
      </c>
      <c r="R40" s="20" t="inlineStr">
        <is>
          <t>Yes</t>
        </is>
      </c>
      <c r="S40" s="99" t="inlineStr">
        <is>
          <t>14</t>
        </is>
      </c>
      <c r="T40" s="20" t="inlineStr">
        <is>
          <t>units</t>
        </is>
      </c>
      <c r="U40" s="20" t="inlineStr">
        <is>
          <t>Actual / contracted</t>
        </is>
      </c>
      <c r="V40" s="100" t="n"/>
      <c r="W40" s="20" t="inlineStr">
        <is>
          <t>Unknown</t>
        </is>
      </c>
      <c r="X40" s="20" t="inlineStr">
        <is>
          <t>Undisclosed</t>
        </is>
      </c>
      <c r="Y40" s="20" t="inlineStr">
        <is>
          <t>Obligated / signed if disclosed</t>
        </is>
      </c>
      <c r="Z40" s="20" t="inlineStr">
        <is>
          <t>No</t>
        </is>
      </c>
      <c r="AA40" s="20" t="inlineStr">
        <is>
          <t>Production Procurement</t>
        </is>
      </c>
      <c r="AB40" s="20" t="inlineStr">
        <is>
          <t>Land</t>
        </is>
      </c>
      <c r="AC40" s="20" t="inlineStr">
        <is>
          <t>Yes</t>
        </is>
      </c>
      <c r="AD40" s="20" t="n"/>
      <c r="AE40" s="20" t="inlineStr">
        <is>
          <t>https://cbgsystems.com/solarsigmashield-mobile-camouflage-systems-partnership-with-hanwha-defense-australia/</t>
        </is>
      </c>
      <c r="AF40" s="20" t="inlineStr">
        <is>
          <t>Company announcement</t>
        </is>
      </c>
      <c r="AG40" s="20" t="inlineStr">
        <is>
          <t>Supplier / prime announcement</t>
        </is>
      </c>
      <c r="AH40" s="20" t="inlineStr">
        <is>
          <t>Medium</t>
        </is>
      </c>
      <c r="AI40" s="20" t="inlineStr">
        <is>
          <t>CBG states it was contracted and manufacture had commenced; 14 platform-specific systems total.</t>
        </is>
      </c>
      <c r="AJ40" s="20" t="inlineStr">
        <is>
          <t>No</t>
        </is>
      </c>
      <c r="AK40" s="20" t="inlineStr">
        <is>
          <t>Yes</t>
        </is>
      </c>
      <c r="AL40" s="20" t="inlineStr">
        <is>
          <t>No</t>
        </is>
      </c>
      <c r="AM40" s="20" t="inlineStr">
        <is>
          <t>No</t>
        </is>
      </c>
      <c r="AN40" s="20" t="inlineStr">
        <is>
          <t>No</t>
        </is>
      </c>
      <c r="AO40" s="20" t="inlineStr">
        <is>
          <t>Yes</t>
        </is>
      </c>
      <c r="AP40" s="20" t="inlineStr">
        <is>
          <t>Included in Land core</t>
        </is>
      </c>
      <c r="AQ40" s="92" t="n">
        <v>1</v>
      </c>
      <c r="AR40" s="92" t="n">
        <v>1</v>
      </c>
      <c r="AS40" s="92" t="n">
        <v>1</v>
      </c>
      <c r="AT40" s="92" t="n">
        <v>1</v>
      </c>
      <c r="AU40" s="92" t="n">
        <v>1</v>
      </c>
      <c r="AV40" s="92" t="n">
        <v>1</v>
      </c>
      <c r="AW40" s="92" t="n">
        <v>0</v>
      </c>
    </row>
    <row r="41">
      <c r="A41" s="20" t="inlineStr">
        <is>
          <t>SM-0038</t>
        </is>
      </c>
      <c r="B41" s="20" t="inlineStr">
        <is>
          <t>PPG-FA930221D0009</t>
        </is>
      </c>
      <c r="C41" s="98" t="inlineStr">
        <is>
          <t>2022-05-19</t>
        </is>
      </c>
      <c r="D41" s="92" t="n">
        <v>2022</v>
      </c>
      <c r="E41" s="20" t="inlineStr">
        <is>
          <t>United States</t>
        </is>
      </c>
      <c r="F41" s="20" t="inlineStr">
        <is>
          <t>Air Force Test Center / 412th Test Wing, U.S. Air Force</t>
        </is>
      </c>
      <c r="G41" s="20" t="inlineStr">
        <is>
          <t>U.S. Air Force</t>
        </is>
      </c>
      <c r="H41" s="20" t="inlineStr">
        <is>
          <t>Air Force / Aviation</t>
        </is>
      </c>
      <c r="I41" s="20" t="inlineStr">
        <is>
          <t>PPG Industries, Inc.</t>
        </is>
      </c>
      <c r="J41" s="20" t="inlineStr">
        <is>
          <t>PPG</t>
        </is>
      </c>
      <c r="K41" s="20" t="inlineStr">
        <is>
          <t>USA</t>
        </is>
      </c>
      <c r="L41" s="20" t="inlineStr">
        <is>
          <t>FA930222F0030 under FA930221D0009 RAM IDIQ</t>
        </is>
      </c>
      <c r="M41" s="20" t="inlineStr">
        <is>
          <t>RAM / Composite</t>
        </is>
      </c>
      <c r="N41" s="20" t="inlineStr">
        <is>
          <t>Radar Absorbent Material (RAM)</t>
        </is>
      </c>
      <c r="O41" s="20" t="inlineStr">
        <is>
          <t>Radar / RCS</t>
        </is>
      </c>
      <c r="P41" s="20" t="inlineStr">
        <is>
          <t>Order</t>
        </is>
      </c>
      <c r="Q41" s="20" t="n"/>
      <c r="R41" s="20" t="inlineStr">
        <is>
          <t>Yes</t>
        </is>
      </c>
      <c r="S41" s="99" t="n"/>
      <c r="T41" s="20" t="inlineStr">
        <is>
          <t>Unknown</t>
        </is>
      </c>
      <c r="U41" s="20" t="n"/>
      <c r="V41" s="100" t="inlineStr">
        <is>
          <t>353500.0</t>
        </is>
      </c>
      <c r="W41" s="20" t="inlineStr">
        <is>
          <t>USD</t>
        </is>
      </c>
      <c r="X41" s="20" t="n"/>
      <c r="Y41" s="20" t="inlineStr">
        <is>
          <t>Obligated / signed if disclosed</t>
        </is>
      </c>
      <c r="Z41" s="20" t="inlineStr">
        <is>
          <t>No</t>
        </is>
      </c>
      <c r="AA41" s="20" t="inlineStr">
        <is>
          <t>Production Procurement</t>
        </is>
      </c>
      <c r="AB41" s="20" t="inlineStr">
        <is>
          <t>Aviation</t>
        </is>
      </c>
      <c r="AC41" s="20" t="inlineStr">
        <is>
          <t>No</t>
        </is>
      </c>
      <c r="AD41" s="20" t="inlineStr">
        <is>
          <t>Aviation-only</t>
        </is>
      </c>
      <c r="AE41" s="20" t="inlineStr">
        <is>
          <t>https://www.federalcompass.com/award-contract-detail/FA930221D0009</t>
        </is>
      </c>
      <c r="AF41" s="20" t="inlineStr">
        <is>
          <t>Other credible third-party source (FPDS-derived)</t>
        </is>
      </c>
      <c r="AG41" s="20" t="inlineStr">
        <is>
          <t>Secondary / aggregator</t>
        </is>
      </c>
      <c r="AH41" s="20" t="inlineStr">
        <is>
          <t>High</t>
        </is>
      </c>
      <c r="AI41" s="20" t="inlineStr">
        <is>
          <t>Actual task-order obligation. Federal Compass reports the amount rounded to the nearest $0.1k; do not add the parent IDIQ ceiling as sales.</t>
        </is>
      </c>
      <c r="AJ41" s="20" t="inlineStr">
        <is>
          <t>Yes</t>
        </is>
      </c>
      <c r="AK41" s="20" t="inlineStr">
        <is>
          <t>No</t>
        </is>
      </c>
      <c r="AL41" s="20" t="inlineStr">
        <is>
          <t>No</t>
        </is>
      </c>
      <c r="AM41" s="20" t="inlineStr">
        <is>
          <t>No</t>
        </is>
      </c>
      <c r="AN41" s="20" t="inlineStr">
        <is>
          <t>No</t>
        </is>
      </c>
      <c r="AO41" s="20" t="inlineStr">
        <is>
          <t>Yes</t>
        </is>
      </c>
      <c r="AP41" s="20" t="inlineStr">
        <is>
          <t>Retained as contextual; excluded from Land core</t>
        </is>
      </c>
      <c r="AQ41" s="92" t="n">
        <v>0</v>
      </c>
      <c r="AR41" s="92" t="n">
        <v>0</v>
      </c>
      <c r="AS41" s="92" t="n">
        <v>0</v>
      </c>
      <c r="AT41" s="92" t="n">
        <v>0</v>
      </c>
      <c r="AU41" s="92" t="n">
        <v>0</v>
      </c>
      <c r="AV41" s="92" t="n">
        <v>0</v>
      </c>
      <c r="AW41" s="92" t="n">
        <v>0</v>
      </c>
    </row>
    <row r="42">
      <c r="A42" s="20" t="inlineStr">
        <is>
          <t>SM-0039</t>
        </is>
      </c>
      <c r="B42" s="20" t="inlineStr">
        <is>
          <t>ULCANS-IDV-W911QY18D0210</t>
        </is>
      </c>
      <c r="C42" s="98" t="inlineStr">
        <is>
          <t>2022-06-29</t>
        </is>
      </c>
      <c r="D42" s="92" t="n">
        <v>2022</v>
      </c>
      <c r="E42" s="20" t="inlineStr">
        <is>
          <t>United States</t>
        </is>
      </c>
      <c r="F42" s="20" t="inlineStr">
        <is>
          <t>ACC Aberdeen Proving Ground / PEO CSCSS, U.S. Army</t>
        </is>
      </c>
      <c r="G42" s="20" t="inlineStr">
        <is>
          <t>U.S. Army</t>
        </is>
      </c>
      <c r="H42" s="20" t="inlineStr">
        <is>
          <t>Army / Land</t>
        </is>
      </c>
      <c r="I42" s="20" t="inlineStr">
        <is>
          <t>Fibrotex USA Inc. / Fibrotex Technologies</t>
        </is>
      </c>
      <c r="J42" s="20" t="inlineStr">
        <is>
          <t>Fibrotex</t>
        </is>
      </c>
      <c r="K42" s="20" t="inlineStr">
        <is>
          <t>Israel / USA</t>
        </is>
      </c>
      <c r="L42" s="20" t="inlineStr">
        <is>
          <t>W911QY22F0222 — Woodland Type I</t>
        </is>
      </c>
      <c r="M42" s="20" t="inlineStr">
        <is>
          <t>Nets / Covers</t>
        </is>
      </c>
      <c r="N42" s="20" t="inlineStr">
        <is>
          <t>ULCANS production system — Woodland Type I</t>
        </is>
      </c>
      <c r="O42" s="20" t="inlineStr">
        <is>
          <t>Multispectral</t>
        </is>
      </c>
      <c r="P42" s="20" t="inlineStr">
        <is>
          <t>Order</t>
        </is>
      </c>
      <c r="Q42" s="20" t="n"/>
      <c r="R42" s="20" t="inlineStr">
        <is>
          <t>Yes</t>
        </is>
      </c>
      <c r="S42" s="99" t="n"/>
      <c r="T42" s="20" t="inlineStr">
        <is>
          <t>Unknown</t>
        </is>
      </c>
      <c r="U42" s="20" t="n"/>
      <c r="V42" s="100" t="inlineStr">
        <is>
          <t>33742770.94</t>
        </is>
      </c>
      <c r="W42" s="20" t="inlineStr">
        <is>
          <t>USD</t>
        </is>
      </c>
      <c r="X42" s="20" t="n"/>
      <c r="Y42" s="20" t="inlineStr">
        <is>
          <t>Obligated / signed if disclosed</t>
        </is>
      </c>
      <c r="Z42" s="20" t="inlineStr">
        <is>
          <t>Yes</t>
        </is>
      </c>
      <c r="AA42" s="20" t="inlineStr">
        <is>
          <t>Production Procurement</t>
        </is>
      </c>
      <c r="AB42" s="20" t="inlineStr">
        <is>
          <t>Land</t>
        </is>
      </c>
      <c r="AC42" s="20" t="inlineStr">
        <is>
          <t>Yes</t>
        </is>
      </c>
      <c r="AD42" s="20" t="n"/>
      <c r="AE42" s="20" t="inlineStr">
        <is>
          <t>https://www.nsnlookup.com/cage/7wne0</t>
        </is>
      </c>
      <c r="AF42" s="20" t="inlineStr">
        <is>
          <t>Other credible third-party source (FPDS/USASpending-derived)</t>
        </is>
      </c>
      <c r="AG42" s="20" t="inlineStr">
        <is>
          <t>Secondary / aggregator</t>
        </is>
      </c>
      <c r="AH42" s="20" t="inlineStr">
        <is>
          <t>High</t>
        </is>
      </c>
      <c r="AI42" s="20" t="inlineStr">
        <is>
          <t>Distinct ULCANS production order; later modifications on the same PIID are consolidated.</t>
        </is>
      </c>
      <c r="AJ42" s="20" t="inlineStr">
        <is>
          <t>Yes</t>
        </is>
      </c>
      <c r="AK42" s="20" t="inlineStr">
        <is>
          <t>No</t>
        </is>
      </c>
      <c r="AL42" s="20" t="inlineStr">
        <is>
          <t>No</t>
        </is>
      </c>
      <c r="AM42" s="20" t="inlineStr">
        <is>
          <t>No</t>
        </is>
      </c>
      <c r="AN42" s="20" t="inlineStr">
        <is>
          <t>No</t>
        </is>
      </c>
      <c r="AO42" s="20" t="inlineStr">
        <is>
          <t>Yes</t>
        </is>
      </c>
      <c r="AP42" s="20" t="inlineStr">
        <is>
          <t>Included in Land core</t>
        </is>
      </c>
      <c r="AQ42" s="92" t="n">
        <v>0</v>
      </c>
      <c r="AR42" s="92" t="n">
        <v>0</v>
      </c>
      <c r="AS42" s="92" t="n">
        <v>0</v>
      </c>
      <c r="AT42" s="92" t="n">
        <v>0</v>
      </c>
      <c r="AU42" s="92" t="n">
        <v>0</v>
      </c>
      <c r="AV42" s="92" t="n">
        <v>0</v>
      </c>
      <c r="AW42" s="92" t="n">
        <v>1</v>
      </c>
    </row>
    <row r="43">
      <c r="A43" s="20" t="inlineStr">
        <is>
          <t>SM-0040</t>
        </is>
      </c>
      <c r="B43" s="20" t="inlineStr">
        <is>
          <t>ULCANS-IDV-W911QY18D0210</t>
        </is>
      </c>
      <c r="C43" s="98" t="inlineStr">
        <is>
          <t>2022-08-26</t>
        </is>
      </c>
      <c r="D43" s="92" t="n">
        <v>2022</v>
      </c>
      <c r="E43" s="20" t="inlineStr">
        <is>
          <t>United States</t>
        </is>
      </c>
      <c r="F43" s="20" t="inlineStr">
        <is>
          <t>ACC Aberdeen Proving Ground / PEO CSCSS, U.S. Army</t>
        </is>
      </c>
      <c r="G43" s="20" t="inlineStr">
        <is>
          <t>U.S. Army</t>
        </is>
      </c>
      <c r="H43" s="20" t="inlineStr">
        <is>
          <t>Army / Land</t>
        </is>
      </c>
      <c r="I43" s="20" t="inlineStr">
        <is>
          <t>Fibrotex USA Inc. / Fibrotex Technologies</t>
        </is>
      </c>
      <c r="J43" s="20" t="inlineStr">
        <is>
          <t>Fibrotex</t>
        </is>
      </c>
      <c r="K43" s="20" t="inlineStr">
        <is>
          <t>Israel / USA</t>
        </is>
      </c>
      <c r="L43" s="20" t="inlineStr">
        <is>
          <t>W911QY22F0317 — Woodland Type I</t>
        </is>
      </c>
      <c r="M43" s="20" t="inlineStr">
        <is>
          <t>Nets / Covers</t>
        </is>
      </c>
      <c r="N43" s="20" t="inlineStr">
        <is>
          <t>ULCANS production system — Woodland Type I</t>
        </is>
      </c>
      <c r="O43" s="20" t="inlineStr">
        <is>
          <t>Multispectral</t>
        </is>
      </c>
      <c r="P43" s="20" t="inlineStr">
        <is>
          <t>Order</t>
        </is>
      </c>
      <c r="Q43" s="20" t="n"/>
      <c r="R43" s="20" t="inlineStr">
        <is>
          <t>Yes</t>
        </is>
      </c>
      <c r="S43" s="99" t="n"/>
      <c r="T43" s="20" t="inlineStr">
        <is>
          <t>Unknown</t>
        </is>
      </c>
      <c r="U43" s="20" t="n"/>
      <c r="V43" s="100" t="inlineStr">
        <is>
          <t>30918319.22</t>
        </is>
      </c>
      <c r="W43" s="20" t="inlineStr">
        <is>
          <t>USD</t>
        </is>
      </c>
      <c r="X43" s="20" t="n"/>
      <c r="Y43" s="20" t="inlineStr">
        <is>
          <t>Obligated / signed if disclosed</t>
        </is>
      </c>
      <c r="Z43" s="20" t="inlineStr">
        <is>
          <t>Yes</t>
        </is>
      </c>
      <c r="AA43" s="20" t="inlineStr">
        <is>
          <t>Production Procurement</t>
        </is>
      </c>
      <c r="AB43" s="20" t="inlineStr">
        <is>
          <t>Land</t>
        </is>
      </c>
      <c r="AC43" s="20" t="inlineStr">
        <is>
          <t>Yes</t>
        </is>
      </c>
      <c r="AD43" s="20" t="n"/>
      <c r="AE43" s="20" t="inlineStr">
        <is>
          <t>https://www.nsnlookup.com/cage/7wne0</t>
        </is>
      </c>
      <c r="AF43" s="20" t="inlineStr">
        <is>
          <t>Other credible third-party source (FPDS/USASpending-derived)</t>
        </is>
      </c>
      <c r="AG43" s="20" t="inlineStr">
        <is>
          <t>Secondary / aggregator</t>
        </is>
      </c>
      <c r="AH43" s="20" t="inlineStr">
        <is>
          <t>High</t>
        </is>
      </c>
      <c r="AI43" s="20" t="inlineStr">
        <is>
          <t>Distinct ULCANS production order.</t>
        </is>
      </c>
      <c r="AJ43" s="20" t="inlineStr">
        <is>
          <t>Yes</t>
        </is>
      </c>
      <c r="AK43" s="20" t="inlineStr">
        <is>
          <t>No</t>
        </is>
      </c>
      <c r="AL43" s="20" t="inlineStr">
        <is>
          <t>No</t>
        </is>
      </c>
      <c r="AM43" s="20" t="inlineStr">
        <is>
          <t>No</t>
        </is>
      </c>
      <c r="AN43" s="20" t="inlineStr">
        <is>
          <t>No</t>
        </is>
      </c>
      <c r="AO43" s="20" t="inlineStr">
        <is>
          <t>Yes</t>
        </is>
      </c>
      <c r="AP43" s="20" t="inlineStr">
        <is>
          <t>Included in Land core</t>
        </is>
      </c>
      <c r="AQ43" s="92" t="n">
        <v>0</v>
      </c>
      <c r="AR43" s="92" t="n">
        <v>0</v>
      </c>
      <c r="AS43" s="92" t="n">
        <v>0</v>
      </c>
      <c r="AT43" s="92" t="n">
        <v>0</v>
      </c>
      <c r="AU43" s="92" t="n">
        <v>0</v>
      </c>
      <c r="AV43" s="92" t="n">
        <v>0</v>
      </c>
      <c r="AW43" s="92" t="n">
        <v>1</v>
      </c>
    </row>
    <row r="44">
      <c r="A44" s="20" t="inlineStr">
        <is>
          <t>SM-0041</t>
        </is>
      </c>
      <c r="B44" s="20" t="inlineStr">
        <is>
          <t>ULCANS-IDV-W911QY18D0210</t>
        </is>
      </c>
      <c r="C44" s="98" t="inlineStr">
        <is>
          <t>2022-08-30</t>
        </is>
      </c>
      <c r="D44" s="92" t="n">
        <v>2022</v>
      </c>
      <c r="E44" s="20" t="inlineStr">
        <is>
          <t>United States</t>
        </is>
      </c>
      <c r="F44" s="20" t="inlineStr">
        <is>
          <t>ACC Aberdeen Proving Ground / PEO CSCSS, U.S. Army</t>
        </is>
      </c>
      <c r="G44" s="20" t="inlineStr">
        <is>
          <t>U.S. Army</t>
        </is>
      </c>
      <c r="H44" s="20" t="inlineStr">
        <is>
          <t>Army / Land</t>
        </is>
      </c>
      <c r="I44" s="20" t="inlineStr">
        <is>
          <t>Fibrotex USA Inc. / Fibrotex Technologies</t>
        </is>
      </c>
      <c r="J44" s="20" t="inlineStr">
        <is>
          <t>Fibrotex</t>
        </is>
      </c>
      <c r="K44" s="20" t="inlineStr">
        <is>
          <t>Israel / USA</t>
        </is>
      </c>
      <c r="L44" s="20" t="inlineStr">
        <is>
          <t>W911QY22F0316 — Desert/Urban Type I Screen Kit</t>
        </is>
      </c>
      <c r="M44" s="20" t="inlineStr">
        <is>
          <t>Nets / Covers</t>
        </is>
      </c>
      <c r="N44" s="20" t="inlineStr">
        <is>
          <t>Desert/Urban Type I screen kit (bag &amp; repair)</t>
        </is>
      </c>
      <c r="O44" s="20" t="inlineStr">
        <is>
          <t>Multispectral</t>
        </is>
      </c>
      <c r="P44" s="20" t="inlineStr">
        <is>
          <t>Order</t>
        </is>
      </c>
      <c r="Q44" s="20" t="n"/>
      <c r="R44" s="20" t="inlineStr">
        <is>
          <t>Yes</t>
        </is>
      </c>
      <c r="S44" s="99" t="n"/>
      <c r="T44" s="20" t="inlineStr">
        <is>
          <t>Unknown</t>
        </is>
      </c>
      <c r="U44" s="20" t="n"/>
      <c r="V44" s="100" t="inlineStr">
        <is>
          <t>3109404.2</t>
        </is>
      </c>
      <c r="W44" s="20" t="inlineStr">
        <is>
          <t>USD</t>
        </is>
      </c>
      <c r="X44" s="20" t="n"/>
      <c r="Y44" s="20" t="inlineStr">
        <is>
          <t>Obligated / signed if disclosed</t>
        </is>
      </c>
      <c r="Z44" s="20" t="inlineStr">
        <is>
          <t>Yes</t>
        </is>
      </c>
      <c r="AA44" s="20" t="inlineStr">
        <is>
          <t>Production Procurement</t>
        </is>
      </c>
      <c r="AB44" s="20" t="inlineStr">
        <is>
          <t>Land</t>
        </is>
      </c>
      <c r="AC44" s="20" t="inlineStr">
        <is>
          <t>Yes</t>
        </is>
      </c>
      <c r="AD44" s="20" t="n"/>
      <c r="AE44" s="20" t="inlineStr">
        <is>
          <t>https://www.nsnlookup.com/cage/7wne0</t>
        </is>
      </c>
      <c r="AF44" s="20" t="inlineStr">
        <is>
          <t>Other credible third-party source (FPDS/USASpending-derived)</t>
        </is>
      </c>
      <c r="AG44" s="20" t="inlineStr">
        <is>
          <t>Secondary / aggregator</t>
        </is>
      </c>
      <c r="AH44" s="20" t="inlineStr">
        <is>
          <t>High</t>
        </is>
      </c>
      <c r="AI44" s="20" t="inlineStr">
        <is>
          <t>Distinct ULCANS support/production order.</t>
        </is>
      </c>
      <c r="AJ44" s="20" t="inlineStr">
        <is>
          <t>Yes</t>
        </is>
      </c>
      <c r="AK44" s="20" t="inlineStr">
        <is>
          <t>No</t>
        </is>
      </c>
      <c r="AL44" s="20" t="inlineStr">
        <is>
          <t>No</t>
        </is>
      </c>
      <c r="AM44" s="20" t="inlineStr">
        <is>
          <t>No</t>
        </is>
      </c>
      <c r="AN44" s="20" t="inlineStr">
        <is>
          <t>No</t>
        </is>
      </c>
      <c r="AO44" s="20" t="inlineStr">
        <is>
          <t>Yes</t>
        </is>
      </c>
      <c r="AP44" s="20" t="inlineStr">
        <is>
          <t>Included in Land core</t>
        </is>
      </c>
      <c r="AQ44" s="92" t="n">
        <v>0</v>
      </c>
      <c r="AR44" s="92" t="n">
        <v>0</v>
      </c>
      <c r="AS44" s="92" t="n">
        <v>0</v>
      </c>
      <c r="AT44" s="92" t="n">
        <v>0</v>
      </c>
      <c r="AU44" s="92" t="n">
        <v>0</v>
      </c>
      <c r="AV44" s="92" t="n">
        <v>0</v>
      </c>
      <c r="AW44" s="92" t="n">
        <v>1</v>
      </c>
    </row>
    <row r="45">
      <c r="A45" s="20" t="inlineStr">
        <is>
          <t>SM-0042</t>
        </is>
      </c>
      <c r="B45" s="20" t="inlineStr">
        <is>
          <t>AMD-CHAMEM</t>
        </is>
      </c>
      <c r="C45" s="98" t="inlineStr">
        <is>
          <t>2022-09-09</t>
        </is>
      </c>
      <c r="D45" s="92" t="n">
        <v>2022</v>
      </c>
      <c r="E45" s="20" t="inlineStr">
        <is>
          <t>United States</t>
        </is>
      </c>
      <c r="F45" s="20" t="inlineStr">
        <is>
          <t>U.S. OSD Foreign Comparative Testing</t>
        </is>
      </c>
      <c r="G45" s="20" t="inlineStr">
        <is>
          <t>U.S. OSD Foreign Comparative Testing</t>
        </is>
      </c>
      <c r="H45" s="20" t="inlineStr">
        <is>
          <t>Army / Land</t>
        </is>
      </c>
      <c r="I45" s="20" t="inlineStr">
        <is>
          <t>Advanced Material Development (AMD)</t>
        </is>
      </c>
      <c r="J45" s="20" t="inlineStr">
        <is>
          <t>Advanced Material Development (AMD)</t>
        </is>
      </c>
      <c r="K45" s="20" t="inlineStr">
        <is>
          <t>Unknown</t>
        </is>
      </c>
      <c r="L45" s="20" t="inlineStr">
        <is>
          <t>ChamEM FCT</t>
        </is>
      </c>
      <c r="M45" s="20" t="inlineStr">
        <is>
          <t>Land relevance reported</t>
        </is>
      </c>
      <c r="N45" s="20" t="inlineStr">
        <is>
          <t>Signature-management material</t>
        </is>
      </c>
      <c r="O45" s="20" t="inlineStr">
        <is>
          <t>Radar / RCS</t>
        </is>
      </c>
      <c r="P45" s="20" t="inlineStr">
        <is>
          <t>Funded R&amp;D</t>
        </is>
      </c>
      <c r="Q45" s="20" t="inlineStr">
        <is>
          <t>Follow-on funding</t>
        </is>
      </c>
      <c r="R45" s="20" t="inlineStr">
        <is>
          <t>No</t>
        </is>
      </c>
      <c r="S45" s="99" t="n"/>
      <c r="T45" s="20" t="inlineStr">
        <is>
          <t>Unknown</t>
        </is>
      </c>
      <c r="U45" s="20" t="inlineStr">
        <is>
          <t>Unknown</t>
        </is>
      </c>
      <c r="V45" s="100" t="n"/>
      <c r="W45" s="20" t="inlineStr">
        <is>
          <t>Unknown</t>
        </is>
      </c>
      <c r="X45" s="20" t="inlineStr">
        <is>
          <t>Undisclosed</t>
        </is>
      </c>
      <c r="Y45" s="20" t="inlineStr">
        <is>
          <t>Obligated / signed if disclosed</t>
        </is>
      </c>
      <c r="Z45" s="20" t="inlineStr">
        <is>
          <t>No</t>
        </is>
      </c>
      <c r="AA45" s="20" t="inlineStr">
        <is>
          <t>Development / Validation</t>
        </is>
      </c>
      <c r="AB45" s="20" t="inlineStr">
        <is>
          <t>Land</t>
        </is>
      </c>
      <c r="AC45" s="20" t="inlineStr">
        <is>
          <t>Yes</t>
        </is>
      </c>
      <c r="AD45" s="20" t="n"/>
      <c r="AE45" s="20" t="inlineStr">
        <is>
          <t>https://www.graphene-info.com/advanced-material-development</t>
        </is>
      </c>
      <c r="AF45" s="20" t="inlineStr">
        <is>
          <t>Industry publication citing company</t>
        </is>
      </c>
      <c r="AG45" s="20" t="inlineStr">
        <is>
          <t>Supplier / prime announcement</t>
        </is>
      </c>
      <c r="AH45" s="20" t="inlineStr">
        <is>
          <t>Medium</t>
        </is>
      </c>
      <c r="AI45" s="20" t="inlineStr">
        <is>
          <t>Multiple 2022 articles treated as one continuation event.</t>
        </is>
      </c>
      <c r="AJ45" s="20" t="inlineStr">
        <is>
          <t>No</t>
        </is>
      </c>
      <c r="AK45" s="20" t="inlineStr">
        <is>
          <t>Yes</t>
        </is>
      </c>
      <c r="AL45" s="20" t="inlineStr">
        <is>
          <t>No</t>
        </is>
      </c>
      <c r="AM45" s="20" t="inlineStr">
        <is>
          <t>No</t>
        </is>
      </c>
      <c r="AN45" s="20" t="inlineStr">
        <is>
          <t>No</t>
        </is>
      </c>
      <c r="AO45" s="20" t="inlineStr">
        <is>
          <t>Yes</t>
        </is>
      </c>
      <c r="AP45" s="20" t="inlineStr">
        <is>
          <t>Included in Land core</t>
        </is>
      </c>
      <c r="AQ45" s="92" t="n">
        <v>1</v>
      </c>
      <c r="AR45" s="92" t="n">
        <v>0</v>
      </c>
      <c r="AS45" s="92" t="n">
        <v>1</v>
      </c>
      <c r="AT45" s="92" t="n">
        <v>1</v>
      </c>
      <c r="AU45" s="92" t="n">
        <v>0</v>
      </c>
      <c r="AV45" s="92" t="n">
        <v>0</v>
      </c>
      <c r="AW45" s="92" t="n">
        <v>0</v>
      </c>
    </row>
    <row r="46">
      <c r="A46" s="20" t="inlineStr">
        <is>
          <t>SM-0043</t>
        </is>
      </c>
      <c r="B46" s="20" t="inlineStr">
        <is>
          <t>US-SOCOM-AMETRINE-2022</t>
        </is>
      </c>
      <c r="C46" s="98" t="inlineStr">
        <is>
          <t>2022-10-12</t>
        </is>
      </c>
      <c r="D46" s="92" t="n">
        <v>2022</v>
      </c>
      <c r="E46" s="20" t="inlineStr">
        <is>
          <t>United States</t>
        </is>
      </c>
      <c r="F46" s="20" t="inlineStr">
        <is>
          <t>U.S. Special Operations Command (USSOCOM)</t>
        </is>
      </c>
      <c r="G46" s="20" t="inlineStr">
        <is>
          <t>USSOCOM</t>
        </is>
      </c>
      <c r="H46" s="20" t="inlineStr">
        <is>
          <t>Defence / not disclosed</t>
        </is>
      </c>
      <c r="I46" s="20" t="inlineStr">
        <is>
          <t>Ametrine Inc. / Ametrine Technologies</t>
        </is>
      </c>
      <c r="J46" s="20" t="inlineStr">
        <is>
          <t>Ametrine Technologies</t>
        </is>
      </c>
      <c r="K46" s="20" t="inlineStr">
        <is>
          <t>USA</t>
        </is>
      </c>
      <c r="L46" s="20" t="inlineStr">
        <is>
          <t>H9240523C0001</t>
        </is>
      </c>
      <c r="M46" s="20" t="inlineStr">
        <is>
          <t>Mixed / unclear</t>
        </is>
      </c>
      <c r="N46" s="20" t="inlineStr">
        <is>
          <t>Mixed tactical / camouflage-related services and equipment; exact Signature Management platform scope not public</t>
        </is>
      </c>
      <c r="O46" s="20" t="inlineStr">
        <is>
          <t>Not itemised</t>
        </is>
      </c>
      <c r="P46" s="20" t="inlineStr">
        <is>
          <t>Contract award</t>
        </is>
      </c>
      <c r="Q46" s="20" t="inlineStr">
        <is>
          <t>Award</t>
        </is>
      </c>
      <c r="R46" s="20" t="inlineStr">
        <is>
          <t>No</t>
        </is>
      </c>
      <c r="S46" s="99" t="n"/>
      <c r="T46" s="20" t="inlineStr">
        <is>
          <t>Unknown</t>
        </is>
      </c>
      <c r="U46" s="20" t="n"/>
      <c r="V46" s="100" t="inlineStr">
        <is>
          <t>5040000</t>
        </is>
      </c>
      <c r="W46" s="20" t="inlineStr">
        <is>
          <t>USD</t>
        </is>
      </c>
      <c r="X46" s="20" t="inlineStr">
        <is>
          <t>Ceiling / potential value</t>
        </is>
      </c>
      <c r="Y46" s="20" t="inlineStr">
        <is>
          <t>Obligated / signed if disclosed</t>
        </is>
      </c>
      <c r="Z46" s="20" t="inlineStr">
        <is>
          <t>No</t>
        </is>
      </c>
      <c r="AA46" s="20" t="inlineStr">
        <is>
          <t>Production Procurement</t>
        </is>
      </c>
      <c r="AB46" s="20" t="inlineStr">
        <is>
          <t>Other / Contextual</t>
        </is>
      </c>
      <c r="AC46" s="20" t="inlineStr">
        <is>
          <t>No</t>
        </is>
      </c>
      <c r="AD46" s="20" t="inlineStr">
        <is>
          <t>USSOCOM contract scope is mixed/undisclosed; no explicit land-platform signature-management content</t>
        </is>
      </c>
      <c r="AE46" s="20" t="inlineStr">
        <is>
          <t>https://govtribe.com/award/federal-contract-award/definitive-contract-h9240523c0001</t>
        </is>
      </c>
      <c r="AF46" s="20" t="inlineStr">
        <is>
          <t>Federal contract aggregator</t>
        </is>
      </c>
      <c r="AG46" s="20" t="inlineStr">
        <is>
          <t>Secondary / aggregator</t>
        </is>
      </c>
      <c r="AH46" s="20" t="inlineStr">
        <is>
          <t>Medium</t>
        </is>
      </c>
      <c r="AI46" s="20" t="inlineStr">
        <is>
          <t>Verified USSOCOM award. Key gap: public summary does not isolate the share/product that is platform-level Signature Management.</t>
        </is>
      </c>
      <c r="AJ46" s="20" t="inlineStr">
        <is>
          <t>No</t>
        </is>
      </c>
      <c r="AK46" s="20" t="inlineStr">
        <is>
          <t>No</t>
        </is>
      </c>
      <c r="AL46" s="20" t="inlineStr">
        <is>
          <t>No</t>
        </is>
      </c>
      <c r="AM46" s="20" t="inlineStr">
        <is>
          <t>Yes</t>
        </is>
      </c>
      <c r="AN46" s="20" t="inlineStr">
        <is>
          <t>No</t>
        </is>
      </c>
      <c r="AO46" s="20" t="inlineStr">
        <is>
          <t>No</t>
        </is>
      </c>
      <c r="AP46" s="20" t="inlineStr">
        <is>
          <t>Retained as contextual; excluded from Land core</t>
        </is>
      </c>
      <c r="AQ46" s="92" t="n">
        <v>0</v>
      </c>
      <c r="AR46" s="92" t="n">
        <v>0</v>
      </c>
      <c r="AS46" s="92" t="n">
        <v>0</v>
      </c>
      <c r="AT46" s="92" t="n">
        <v>0</v>
      </c>
      <c r="AU46" s="92" t="n">
        <v>0</v>
      </c>
      <c r="AV46" s="92" t="n">
        <v>0</v>
      </c>
      <c r="AW46" s="92" t="n">
        <v>0</v>
      </c>
    </row>
    <row r="47">
      <c r="A47" s="20" t="inlineStr">
        <is>
          <t>SM-0044</t>
        </is>
      </c>
      <c r="B47" s="20" t="inlineStr">
        <is>
          <t>PPG-FA930221D0009</t>
        </is>
      </c>
      <c r="C47" s="98" t="inlineStr">
        <is>
          <t>2022-11-22</t>
        </is>
      </c>
      <c r="D47" s="92" t="n">
        <v>2022</v>
      </c>
      <c r="E47" s="20" t="inlineStr">
        <is>
          <t>United States</t>
        </is>
      </c>
      <c r="F47" s="20" t="inlineStr">
        <is>
          <t>Air Force Test Center / 412th Test Wing, U.S. Air Force</t>
        </is>
      </c>
      <c r="G47" s="20" t="inlineStr">
        <is>
          <t>U.S. Air Force</t>
        </is>
      </c>
      <c r="H47" s="20" t="inlineStr">
        <is>
          <t>Air Force / Aviation</t>
        </is>
      </c>
      <c r="I47" s="20" t="inlineStr">
        <is>
          <t>PPG Industries, Inc.</t>
        </is>
      </c>
      <c r="J47" s="20" t="inlineStr">
        <is>
          <t>PPG</t>
        </is>
      </c>
      <c r="K47" s="20" t="inlineStr">
        <is>
          <t>USA</t>
        </is>
      </c>
      <c r="L47" s="20" t="inlineStr">
        <is>
          <t>FA930223F0006 under FA930221D0009 RAM IDIQ</t>
        </is>
      </c>
      <c r="M47" s="20" t="inlineStr">
        <is>
          <t>RAM / Composite</t>
        </is>
      </c>
      <c r="N47" s="20" t="inlineStr">
        <is>
          <t>Radar Absorbent Material (RAM)</t>
        </is>
      </c>
      <c r="O47" s="20" t="inlineStr">
        <is>
          <t>Radar / RCS</t>
        </is>
      </c>
      <c r="P47" s="20" t="inlineStr">
        <is>
          <t>Order</t>
        </is>
      </c>
      <c r="Q47" s="20" t="n"/>
      <c r="R47" s="20" t="inlineStr">
        <is>
          <t>Yes</t>
        </is>
      </c>
      <c r="S47" s="99" t="n"/>
      <c r="T47" s="20" t="inlineStr">
        <is>
          <t>Unknown</t>
        </is>
      </c>
      <c r="U47" s="20" t="n"/>
      <c r="V47" s="100" t="inlineStr">
        <is>
          <t>281400.0</t>
        </is>
      </c>
      <c r="W47" s="20" t="inlineStr">
        <is>
          <t>USD</t>
        </is>
      </c>
      <c r="X47" s="20" t="n"/>
      <c r="Y47" s="20" t="inlineStr">
        <is>
          <t>Obligated / signed if disclosed</t>
        </is>
      </c>
      <c r="Z47" s="20" t="inlineStr">
        <is>
          <t>No</t>
        </is>
      </c>
      <c r="AA47" s="20" t="inlineStr">
        <is>
          <t>Production Procurement</t>
        </is>
      </c>
      <c r="AB47" s="20" t="inlineStr">
        <is>
          <t>Aviation</t>
        </is>
      </c>
      <c r="AC47" s="20" t="inlineStr">
        <is>
          <t>No</t>
        </is>
      </c>
      <c r="AD47" s="20" t="inlineStr">
        <is>
          <t>Aviation-only</t>
        </is>
      </c>
      <c r="AE47" s="20" t="inlineStr">
        <is>
          <t>https://www.federalcompass.com/award-contract-detail/FA930221D0009</t>
        </is>
      </c>
      <c r="AF47" s="20" t="inlineStr">
        <is>
          <t>Other credible third-party source (FPDS-derived)</t>
        </is>
      </c>
      <c r="AG47" s="20" t="inlineStr">
        <is>
          <t>Secondary / aggregator</t>
        </is>
      </c>
      <c r="AH47" s="20" t="inlineStr">
        <is>
          <t>High</t>
        </is>
      </c>
      <c r="AI47" s="20" t="inlineStr">
        <is>
          <t>Actual task-order obligation. Federal Compass reports the amount rounded to the nearest $0.1k; do not add the parent IDIQ ceiling as sales.</t>
        </is>
      </c>
      <c r="AJ47" s="20" t="inlineStr">
        <is>
          <t>Yes</t>
        </is>
      </c>
      <c r="AK47" s="20" t="inlineStr">
        <is>
          <t>No</t>
        </is>
      </c>
      <c r="AL47" s="20" t="inlineStr">
        <is>
          <t>No</t>
        </is>
      </c>
      <c r="AM47" s="20" t="inlineStr">
        <is>
          <t>No</t>
        </is>
      </c>
      <c r="AN47" s="20" t="inlineStr">
        <is>
          <t>No</t>
        </is>
      </c>
      <c r="AO47" s="20" t="inlineStr">
        <is>
          <t>Yes</t>
        </is>
      </c>
      <c r="AP47" s="20" t="inlineStr">
        <is>
          <t>Retained as contextual; excluded from Land core</t>
        </is>
      </c>
      <c r="AQ47" s="92" t="n">
        <v>0</v>
      </c>
      <c r="AR47" s="92" t="n">
        <v>0</v>
      </c>
      <c r="AS47" s="92" t="n">
        <v>0</v>
      </c>
      <c r="AT47" s="92" t="n">
        <v>0</v>
      </c>
      <c r="AU47" s="92" t="n">
        <v>0</v>
      </c>
      <c r="AV47" s="92" t="n">
        <v>0</v>
      </c>
      <c r="AW47" s="92" t="n">
        <v>0</v>
      </c>
    </row>
    <row r="48">
      <c r="A48" s="20" t="inlineStr">
        <is>
          <t>SM-0045</t>
        </is>
      </c>
      <c r="B48" s="20" t="inlineStr">
        <is>
          <t>MAST-USN-RAM-3R-2022</t>
        </is>
      </c>
      <c r="C48" s="98" t="inlineStr">
        <is>
          <t>2022-11-30</t>
        </is>
      </c>
      <c r="D48" s="92" t="n">
        <v>2022</v>
      </c>
      <c r="E48" s="20" t="inlineStr">
        <is>
          <t>United States</t>
        </is>
      </c>
      <c r="F48" s="20" t="inlineStr">
        <is>
          <t>NAVSUP Weapon Systems Support, U.S. Navy</t>
        </is>
      </c>
      <c r="G48" s="20" t="inlineStr">
        <is>
          <t>U.S. Navy</t>
        </is>
      </c>
      <c r="H48" s="20" t="inlineStr">
        <is>
          <t>Navy</t>
        </is>
      </c>
      <c r="I48" s="20" t="inlineStr">
        <is>
          <t>MAST Technologies, Inc.</t>
        </is>
      </c>
      <c r="J48" s="20" t="inlineStr">
        <is>
          <t>MAST Technologies</t>
        </is>
      </c>
      <c r="K48" s="20" t="inlineStr">
        <is>
          <t>USA</t>
        </is>
      </c>
      <c r="L48" s="20" t="inlineStr">
        <is>
          <t>N0010423CUA02 — U.S. Navy ship RAM</t>
        </is>
      </c>
      <c r="M48" s="20" t="inlineStr">
        <is>
          <t>RAM / Composite</t>
        </is>
      </c>
      <c r="N48" s="20" t="inlineStr">
        <is>
          <t>Radar Absorbing Material (RAM) Type 3R rubber tiles</t>
        </is>
      </c>
      <c r="O48" s="20" t="inlineStr">
        <is>
          <t>Radar / RCS</t>
        </is>
      </c>
      <c r="P48" s="20" t="inlineStr">
        <is>
          <t>Contract Award</t>
        </is>
      </c>
      <c r="Q48" s="20" t="n"/>
      <c r="R48" s="20" t="inlineStr">
        <is>
          <t>Yes</t>
        </is>
      </c>
      <c r="S48" s="99" t="n"/>
      <c r="T48" s="20" t="inlineStr">
        <is>
          <t>Unknown</t>
        </is>
      </c>
      <c r="U48" s="20" t="n"/>
      <c r="V48" s="100" t="inlineStr">
        <is>
          <t>1840000.0</t>
        </is>
      </c>
      <c r="W48" s="20" t="inlineStr">
        <is>
          <t>USD</t>
        </is>
      </c>
      <c r="X48" s="20" t="n"/>
      <c r="Y48" s="20" t="inlineStr">
        <is>
          <t>Obligated / signed if disclosed</t>
        </is>
      </c>
      <c r="Z48" s="20" t="inlineStr">
        <is>
          <t>No</t>
        </is>
      </c>
      <c r="AA48" s="20" t="inlineStr">
        <is>
          <t>Production Procurement</t>
        </is>
      </c>
      <c r="AB48" s="20" t="inlineStr">
        <is>
          <t>Maritime</t>
        </is>
      </c>
      <c r="AC48" s="20" t="inlineStr">
        <is>
          <t>No</t>
        </is>
      </c>
      <c r="AD48" s="20" t="inlineStr">
        <is>
          <t>Maritime/contextual</t>
        </is>
      </c>
      <c r="AE48" s="20" t="inlineStr">
        <is>
          <t>https://govtribe.com/vendors/mast-technologies-inc-dot-mast-distribution-5pn79</t>
        </is>
      </c>
      <c r="AF48" s="20" t="inlineStr">
        <is>
          <t>Other credible third-party source (federal procurement record)</t>
        </is>
      </c>
      <c r="AG48" s="20" t="inlineStr">
        <is>
          <t>Secondary / aggregator</t>
        </is>
      </c>
      <c r="AH48" s="20" t="inlineStr">
        <is>
          <t>High</t>
        </is>
      </c>
      <c r="AI48" s="20" t="inlineStr">
        <is>
          <t>Distinct Navy RAM contract; not an amendment or call-off against N0010421DYW01.</t>
        </is>
      </c>
      <c r="AJ48" s="20" t="inlineStr">
        <is>
          <t>Yes</t>
        </is>
      </c>
      <c r="AK48" s="20" t="inlineStr">
        <is>
          <t>No</t>
        </is>
      </c>
      <c r="AL48" s="20" t="inlineStr">
        <is>
          <t>No</t>
        </is>
      </c>
      <c r="AM48" s="20" t="inlineStr">
        <is>
          <t>No</t>
        </is>
      </c>
      <c r="AN48" s="20" t="inlineStr">
        <is>
          <t>No</t>
        </is>
      </c>
      <c r="AO48" s="20" t="inlineStr">
        <is>
          <t>No</t>
        </is>
      </c>
      <c r="AP48" s="20" t="inlineStr">
        <is>
          <t>Retained as contextual; excluded from Land core</t>
        </is>
      </c>
      <c r="AQ48" s="92" t="n">
        <v>0</v>
      </c>
      <c r="AR48" s="92" t="n">
        <v>0</v>
      </c>
      <c r="AS48" s="92" t="n">
        <v>0</v>
      </c>
      <c r="AT48" s="92" t="n">
        <v>0</v>
      </c>
      <c r="AU48" s="92" t="n">
        <v>0</v>
      </c>
      <c r="AV48" s="92" t="n">
        <v>0</v>
      </c>
      <c r="AW48" s="92" t="n">
        <v>0</v>
      </c>
    </row>
    <row r="49">
      <c r="A49" s="20" t="inlineStr">
        <is>
          <t>SM-0046</t>
        </is>
      </c>
      <c r="B49" s="20" t="inlineStr">
        <is>
          <t>USN-MAST-RAM-TILES</t>
        </is>
      </c>
      <c r="C49" s="98" t="inlineStr">
        <is>
          <t>2023-03-01</t>
        </is>
      </c>
      <c r="D49" s="92" t="n">
        <v>2023</v>
      </c>
      <c r="E49" s="20" t="inlineStr">
        <is>
          <t>United States</t>
        </is>
      </c>
      <c r="F49" s="20" t="inlineStr">
        <is>
          <t>NAVSUP / U.S. Navy</t>
        </is>
      </c>
      <c r="G49" s="20" t="inlineStr">
        <is>
          <t>U.S. Navy</t>
        </is>
      </c>
      <c r="H49" s="20" t="inlineStr">
        <is>
          <t>Navy</t>
        </is>
      </c>
      <c r="I49" s="20" t="inlineStr">
        <is>
          <t>MAST Technologies, Inc.</t>
        </is>
      </c>
      <c r="J49" s="20" t="inlineStr">
        <is>
          <t>MAST Technologies</t>
        </is>
      </c>
      <c r="K49" s="20" t="inlineStr">
        <is>
          <t>USA</t>
        </is>
      </c>
      <c r="L49" s="20" t="inlineStr">
        <is>
          <t>N0010423FV902</t>
        </is>
      </c>
      <c r="M49" s="20" t="inlineStr">
        <is>
          <t>RAM / Composite</t>
        </is>
      </c>
      <c r="N49" s="20" t="inlineStr">
        <is>
          <t>Radar-absorbing rubber tile family</t>
        </is>
      </c>
      <c r="O49" s="20" t="inlineStr">
        <is>
          <t>Radar / RCS</t>
        </is>
      </c>
      <c r="P49" s="20" t="inlineStr">
        <is>
          <t>Order</t>
        </is>
      </c>
      <c r="Q49" s="20" t="n"/>
      <c r="R49" s="20" t="inlineStr">
        <is>
          <t>Yes</t>
        </is>
      </c>
      <c r="S49" s="99" t="n"/>
      <c r="T49" s="20" t="inlineStr">
        <is>
          <t>Unknown</t>
        </is>
      </c>
      <c r="U49" s="20" t="n"/>
      <c r="V49" s="100" t="inlineStr">
        <is>
          <t>274560.0</t>
        </is>
      </c>
      <c r="W49" s="20" t="inlineStr">
        <is>
          <t>USD</t>
        </is>
      </c>
      <c r="X49" s="20" t="n"/>
      <c r="Y49" s="20" t="inlineStr">
        <is>
          <t>Obligated / signed if disclosed</t>
        </is>
      </c>
      <c r="Z49" s="20" t="inlineStr">
        <is>
          <t>No</t>
        </is>
      </c>
      <c r="AA49" s="20" t="inlineStr">
        <is>
          <t>Production Procurement</t>
        </is>
      </c>
      <c r="AB49" s="20" t="inlineStr">
        <is>
          <t>Maritime</t>
        </is>
      </c>
      <c r="AC49" s="20" t="inlineStr">
        <is>
          <t>No</t>
        </is>
      </c>
      <c r="AD49" s="20" t="inlineStr">
        <is>
          <t>Maritime/contextual</t>
        </is>
      </c>
      <c r="AE49" s="20" t="inlineStr">
        <is>
          <t>https://www.highergov.com/contract/N0010420DV901-N0010423FV902/</t>
        </is>
      </c>
      <c r="AF49" s="20" t="inlineStr">
        <is>
          <t>Other credible third-party source (FPDS/SAM-derived)</t>
        </is>
      </c>
      <c r="AG49" s="20" t="inlineStr">
        <is>
          <t>Secondary / aggregator</t>
        </is>
      </c>
      <c r="AH49" s="20" t="inlineStr">
        <is>
          <t>Medium</t>
        </is>
      </c>
      <c r="AI49" s="20" t="inlineStr">
        <is>
          <t>Distinct orders; linked as a recurring Navy RAM-tile procurement family.</t>
        </is>
      </c>
      <c r="AJ49" s="20" t="inlineStr">
        <is>
          <t>Yes</t>
        </is>
      </c>
      <c r="AK49" s="20" t="inlineStr">
        <is>
          <t>No</t>
        </is>
      </c>
      <c r="AL49" s="20" t="inlineStr">
        <is>
          <t>No</t>
        </is>
      </c>
      <c r="AM49" s="20" t="inlineStr">
        <is>
          <t>No</t>
        </is>
      </c>
      <c r="AN49" s="20" t="inlineStr">
        <is>
          <t>No</t>
        </is>
      </c>
      <c r="AO49" s="20" t="inlineStr">
        <is>
          <t>Yes</t>
        </is>
      </c>
      <c r="AP49" s="20" t="inlineStr">
        <is>
          <t>Retained as contextual; excluded from Land core</t>
        </is>
      </c>
      <c r="AQ49" s="92" t="n">
        <v>0</v>
      </c>
      <c r="AR49" s="92" t="n">
        <v>0</v>
      </c>
      <c r="AS49" s="92" t="n">
        <v>0</v>
      </c>
      <c r="AT49" s="92" t="n">
        <v>0</v>
      </c>
      <c r="AU49" s="92" t="n">
        <v>0</v>
      </c>
      <c r="AV49" s="92" t="n">
        <v>0</v>
      </c>
      <c r="AW49" s="92" t="n">
        <v>0</v>
      </c>
    </row>
    <row r="50">
      <c r="A50" s="20" t="inlineStr">
        <is>
          <t>SM-0047</t>
        </is>
      </c>
      <c r="B50" s="20" t="inlineStr">
        <is>
          <t>AME-CNELS-XHANGAR-2023-25</t>
        </is>
      </c>
      <c r="C50" s="98" t="inlineStr">
        <is>
          <t>2023-04-24</t>
        </is>
      </c>
      <c r="D50" s="92" t="n">
        <v>2023</v>
      </c>
      <c r="E50" s="20" t="inlineStr">
        <is>
          <t>United States</t>
        </is>
      </c>
      <c r="F50" s="20" t="inlineStr">
        <is>
          <t>U.S. Naval Research Laboratory</t>
        </is>
      </c>
      <c r="G50" s="20" t="inlineStr">
        <is>
          <t>U.S. NRL / ONR</t>
        </is>
      </c>
      <c r="H50" s="20" t="inlineStr">
        <is>
          <t>Navy</t>
        </is>
      </c>
      <c r="I50" s="20" t="inlineStr">
        <is>
          <t>Ametrine Inc. / Ametrine Technologies</t>
        </is>
      </c>
      <c r="J50" s="20" t="inlineStr">
        <is>
          <t>Ametrine Technologies</t>
        </is>
      </c>
      <c r="K50" s="20" t="inlineStr">
        <is>
          <t>USA</t>
        </is>
      </c>
      <c r="L50" s="20" t="inlineStr">
        <is>
          <t>CNELS / field test</t>
        </is>
      </c>
      <c r="M50" s="20" t="inlineStr">
        <is>
          <t>Nets / Covers</t>
        </is>
      </c>
      <c r="N50" s="20" t="inlineStr">
        <is>
          <t>Camouflage netting / expeditionary cover field test</t>
        </is>
      </c>
      <c r="O50" s="20" t="inlineStr">
        <is>
          <t>Multispectral</t>
        </is>
      </c>
      <c r="P50" s="20" t="inlineStr">
        <is>
          <t>Order</t>
        </is>
      </c>
      <c r="Q50" s="20" t="n"/>
      <c r="R50" s="20" t="inlineStr">
        <is>
          <t>No</t>
        </is>
      </c>
      <c r="S50" s="99" t="n"/>
      <c r="T50" s="20" t="inlineStr">
        <is>
          <t>Unknown</t>
        </is>
      </c>
      <c r="U50" s="20" t="n"/>
      <c r="V50" s="100" t="inlineStr">
        <is>
          <t>150000.0</t>
        </is>
      </c>
      <c r="W50" s="20" t="inlineStr">
        <is>
          <t>USD</t>
        </is>
      </c>
      <c r="X50" s="20" t="n"/>
      <c r="Y50" s="20" t="inlineStr">
        <is>
          <t>Obligated / signed if disclosed</t>
        </is>
      </c>
      <c r="Z50" s="20" t="inlineStr">
        <is>
          <t>No</t>
        </is>
      </c>
      <c r="AA50" s="20" t="inlineStr">
        <is>
          <t>Development / Validation</t>
        </is>
      </c>
      <c r="AB50" s="20" t="inlineStr">
        <is>
          <t>Land</t>
        </is>
      </c>
      <c r="AC50" s="20" t="inlineStr">
        <is>
          <t>Yes</t>
        </is>
      </c>
      <c r="AD50" s="20" t="str"/>
      <c r="AE50" s="20" t="inlineStr">
        <is>
          <t>https://www.federalcompass.com/fed-contract-award/N0017323P0133</t>
        </is>
      </c>
      <c r="AF50" s="20" t="inlineStr">
        <is>
          <t>Other credible third-party source (FPDS-derived)</t>
        </is>
      </c>
      <c r="AG50" s="20" t="inlineStr">
        <is>
          <t>Secondary / aggregator</t>
        </is>
      </c>
      <c r="AH50" s="20" t="inlineStr">
        <is>
          <t>High</t>
        </is>
      </c>
      <c r="AI50" s="20" t="inlineStr">
        <is>
          <t>Firm-fixed-price purchase order for CNELS cover and field-test activity; retained as a land validation event, not a production Actual Order.</t>
        </is>
      </c>
      <c r="AJ50" s="20" t="inlineStr">
        <is>
          <t>Yes</t>
        </is>
      </c>
      <c r="AK50" s="20" t="inlineStr">
        <is>
          <t>Yes</t>
        </is>
      </c>
      <c r="AL50" s="20" t="inlineStr">
        <is>
          <t>No</t>
        </is>
      </c>
      <c r="AM50" s="20" t="inlineStr">
        <is>
          <t>No</t>
        </is>
      </c>
      <c r="AN50" s="20" t="inlineStr">
        <is>
          <t>No</t>
        </is>
      </c>
      <c r="AO50" s="20" t="inlineStr">
        <is>
          <t>No</t>
        </is>
      </c>
      <c r="AP50" s="20" t="inlineStr">
        <is>
          <t>Included in Land core</t>
        </is>
      </c>
      <c r="AQ50" s="92" t="n">
        <v>1</v>
      </c>
      <c r="AR50" s="92" t="n">
        <v>0</v>
      </c>
      <c r="AS50" s="92" t="n">
        <v>1</v>
      </c>
      <c r="AT50" s="92" t="n">
        <v>1</v>
      </c>
      <c r="AU50" s="92" t="n">
        <v>1</v>
      </c>
      <c r="AV50" s="92" t="n">
        <v>1</v>
      </c>
      <c r="AW50" s="92" t="n">
        <v>0</v>
      </c>
    </row>
    <row r="51">
      <c r="A51" s="20" t="inlineStr">
        <is>
          <t>SM-0048</t>
        </is>
      </c>
      <c r="B51" s="20" t="inlineStr">
        <is>
          <t>PL-BERBERYS-2023</t>
        </is>
      </c>
      <c r="C51" s="98" t="inlineStr">
        <is>
          <t>2023-05-23</t>
        </is>
      </c>
      <c r="D51" s="92" t="n">
        <v>2023</v>
      </c>
      <c r="E51" s="20" t="inlineStr">
        <is>
          <t>Poland</t>
        </is>
      </c>
      <c r="F51" s="20" t="inlineStr">
        <is>
          <t>Armament Agency (Agencja Uzbrojenia) / Polish MoD</t>
        </is>
      </c>
      <c r="G51" s="20" t="inlineStr">
        <is>
          <t>Armament Agency (Agencja Uzbrojenia) / Polish MoD</t>
        </is>
      </c>
      <c r="H51" s="20" t="inlineStr">
        <is>
          <t>Defence / not disclosed</t>
        </is>
      </c>
      <c r="I51" s="20" t="inlineStr">
        <is>
          <t>Miranda Sp. z o.o. (Lubawa Group)</t>
        </is>
      </c>
      <c r="J51" s="20" t="inlineStr">
        <is>
          <t>Miranda Textiles</t>
        </is>
      </c>
      <c r="K51" s="20" t="inlineStr">
        <is>
          <t>Poland</t>
        </is>
      </c>
      <c r="L51" s="20" t="inlineStr">
        <is>
          <t>Polish Armed Forces platform camouflage — BERBERYS</t>
        </is>
      </c>
      <c r="M51" s="20" t="inlineStr">
        <is>
          <t>Nets / Covers</t>
        </is>
      </c>
      <c r="N51" s="20" t="inlineStr">
        <is>
          <t>BERBERYS multiband camouflage covers (summer and winter)</t>
        </is>
      </c>
      <c r="O51" s="20" t="inlineStr">
        <is>
          <t>VIS / Optical; IR / Thermal; Radar / RCS; Multispectral</t>
        </is>
      </c>
      <c r="P51" s="20" t="inlineStr">
        <is>
          <t>Contract Award</t>
        </is>
      </c>
      <c r="Q51" s="20" t="n"/>
      <c r="R51" s="20" t="inlineStr">
        <is>
          <t>Yes</t>
        </is>
      </c>
      <c r="S51" s="99" t="inlineStr">
        <is>
          <t>1000</t>
        </is>
      </c>
      <c r="T51" s="20" t="inlineStr">
        <is>
          <t>covers</t>
        </is>
      </c>
      <c r="U51" s="20" t="n"/>
      <c r="V51" s="100" t="inlineStr">
        <is>
          <t>67500000.0</t>
        </is>
      </c>
      <c r="W51" s="20" t="inlineStr">
        <is>
          <t>PLN</t>
        </is>
      </c>
      <c r="X51" s="20" t="n"/>
      <c r="Y51" s="20" t="inlineStr">
        <is>
          <t>Obligated / signed if disclosed</t>
        </is>
      </c>
      <c r="Z51" s="20" t="inlineStr">
        <is>
          <t>No</t>
        </is>
      </c>
      <c r="AA51" s="20" t="inlineStr">
        <is>
          <t>Production Procurement</t>
        </is>
      </c>
      <c r="AB51" s="20" t="inlineStr">
        <is>
          <t>Land</t>
        </is>
      </c>
      <c r="AC51" s="20" t="inlineStr">
        <is>
          <t>Yes</t>
        </is>
      </c>
      <c r="AD51" s="20" t="n"/>
      <c r="AE51" s="20" t="inlineStr">
        <is>
          <t>https://zbiam.pl/pokrycia-maskujace-berberys-dla-wojska-polskiego/</t>
        </is>
      </c>
      <c r="AF51" s="20" t="inlineStr">
        <is>
          <t>Official government / MOD procurement source + official company announcement (issuer report)</t>
        </is>
      </c>
      <c r="AG51" s="20" t="inlineStr">
        <is>
          <t>Primary / official</t>
        </is>
      </c>
      <c r="AH51" s="20" t="inlineStr">
        <is>
          <t>High</t>
        </is>
      </c>
      <c r="AI51" s="20" t="inlineStr">
        <is>
          <t>The PLN 67.5m option is a ceiling, NOT ordered value — count only the PLN 67.5m firm order as a sale. No public evidence found (as of 2026-09-06) that the option was exercised; if exercised later, log as a separate additional-procurement event. Distinct from MIR-2025-01 / MIR-2026-01 (different buyer: PGZ-group contractor, not the Armament Agency).</t>
        </is>
      </c>
      <c r="AJ51" s="20" t="inlineStr">
        <is>
          <t>Yes</t>
        </is>
      </c>
      <c r="AK51" s="20" t="inlineStr">
        <is>
          <t>Yes</t>
        </is>
      </c>
      <c r="AL51" s="20" t="inlineStr">
        <is>
          <t>No</t>
        </is>
      </c>
      <c r="AM51" s="20" t="inlineStr">
        <is>
          <t>No</t>
        </is>
      </c>
      <c r="AN51" s="20" t="inlineStr">
        <is>
          <t>No</t>
        </is>
      </c>
      <c r="AO51" s="20" t="inlineStr">
        <is>
          <t>No</t>
        </is>
      </c>
      <c r="AP51" s="20" t="inlineStr">
        <is>
          <t>Included in Land core</t>
        </is>
      </c>
      <c r="AQ51" s="92" t="n">
        <v>1</v>
      </c>
      <c r="AR51" s="92" t="n">
        <v>1</v>
      </c>
      <c r="AS51" s="92" t="n">
        <v>1</v>
      </c>
      <c r="AT51" s="92" t="n">
        <v>1</v>
      </c>
      <c r="AU51" s="92" t="n">
        <v>1</v>
      </c>
      <c r="AV51" s="92" t="n">
        <v>1</v>
      </c>
      <c r="AW51" s="92" t="n">
        <v>0</v>
      </c>
    </row>
    <row r="52">
      <c r="A52" s="20" t="inlineStr">
        <is>
          <t>SM-0049</t>
        </is>
      </c>
      <c r="B52" s="20" t="inlineStr">
        <is>
          <t>ULCANS-IDV-W911QY18D0210</t>
        </is>
      </c>
      <c r="C52" s="98" t="inlineStr">
        <is>
          <t>2023-05-26</t>
        </is>
      </c>
      <c r="D52" s="92" t="n">
        <v>2023</v>
      </c>
      <c r="E52" s="20" t="inlineStr">
        <is>
          <t>United States</t>
        </is>
      </c>
      <c r="F52" s="20" t="inlineStr">
        <is>
          <t>U.S. Army PEO CSCSS</t>
        </is>
      </c>
      <c r="G52" s="20" t="inlineStr">
        <is>
          <t>U.S. Army</t>
        </is>
      </c>
      <c r="H52" s="20" t="inlineStr">
        <is>
          <t>Army / Land</t>
        </is>
      </c>
      <c r="I52" s="20" t="inlineStr">
        <is>
          <t>Fibrotex USA Inc. / Fibrotex Technologies</t>
        </is>
      </c>
      <c r="J52" s="20" t="inlineStr">
        <is>
          <t>Fibrotex</t>
        </is>
      </c>
      <c r="K52" s="20" t="inlineStr">
        <is>
          <t>Israel / USA</t>
        </is>
      </c>
      <c r="L52" s="20" t="inlineStr">
        <is>
          <t>ULCANS</t>
        </is>
      </c>
      <c r="M52" s="20" t="inlineStr">
        <is>
          <t>Nets / Covers</t>
        </is>
      </c>
      <c r="N52" s="20" t="inlineStr">
        <is>
          <t>Desert / Urban Type I production camouflage systems</t>
        </is>
      </c>
      <c r="O52" s="20" t="inlineStr">
        <is>
          <t>Multispectral</t>
        </is>
      </c>
      <c r="P52" s="20" t="inlineStr">
        <is>
          <t>Order</t>
        </is>
      </c>
      <c r="Q52" s="20" t="n"/>
      <c r="R52" s="20" t="inlineStr">
        <is>
          <t>Yes</t>
        </is>
      </c>
      <c r="S52" s="99" t="n"/>
      <c r="T52" s="20" t="inlineStr">
        <is>
          <t>Unknown</t>
        </is>
      </c>
      <c r="U52" s="20" t="n"/>
      <c r="V52" s="100" t="inlineStr">
        <is>
          <t>47479411.54</t>
        </is>
      </c>
      <c r="W52" s="20" t="inlineStr">
        <is>
          <t>USD</t>
        </is>
      </c>
      <c r="X52" s="20" t="n"/>
      <c r="Y52" s="20" t="inlineStr">
        <is>
          <t>Obligated / signed if disclosed</t>
        </is>
      </c>
      <c r="Z52" s="20" t="inlineStr">
        <is>
          <t>Yes</t>
        </is>
      </c>
      <c r="AA52" s="20" t="inlineStr">
        <is>
          <t>Production Procurement</t>
        </is>
      </c>
      <c r="AB52" s="20" t="inlineStr">
        <is>
          <t>Land</t>
        </is>
      </c>
      <c r="AC52" s="20" t="inlineStr">
        <is>
          <t>Yes</t>
        </is>
      </c>
      <c r="AD52" s="20" t="n"/>
      <c r="AE52" s="20" t="inlineStr">
        <is>
          <t>https://govtribe.com/award/federal-idv-award/indefinite-delivery-contract-w911qy18d0210</t>
        </is>
      </c>
      <c r="AF52" s="20" t="inlineStr">
        <is>
          <t>Other credible third-party source (FPDS/SAM-derived)</t>
        </is>
      </c>
      <c r="AG52" s="20" t="inlineStr">
        <is>
          <t>Secondary / aggregator</t>
        </is>
      </c>
      <c r="AH52" s="20" t="inlineStr">
        <is>
          <t>High</t>
        </is>
      </c>
      <c r="AI52" s="20" t="inlineStr">
        <is>
          <t>Distinct delivery/order event. Parent ULCANS IDIQ ceiling is not counted as sales; amendments are not separate events.</t>
        </is>
      </c>
      <c r="AJ52" s="20" t="inlineStr">
        <is>
          <t>Yes</t>
        </is>
      </c>
      <c r="AK52" s="20" t="inlineStr">
        <is>
          <t>Yes</t>
        </is>
      </c>
      <c r="AL52" s="20" t="inlineStr">
        <is>
          <t>No</t>
        </is>
      </c>
      <c r="AM52" s="20" t="inlineStr">
        <is>
          <t>No</t>
        </is>
      </c>
      <c r="AN52" s="20" t="inlineStr">
        <is>
          <t>No</t>
        </is>
      </c>
      <c r="AO52" s="20" t="inlineStr">
        <is>
          <t>Yes</t>
        </is>
      </c>
      <c r="AP52" s="20" t="inlineStr">
        <is>
          <t>Included in Land core</t>
        </is>
      </c>
      <c r="AQ52" s="92" t="n">
        <v>1</v>
      </c>
      <c r="AR52" s="92" t="n">
        <v>1</v>
      </c>
      <c r="AS52" s="92" t="n">
        <v>1</v>
      </c>
      <c r="AT52" s="92" t="n">
        <v>1</v>
      </c>
      <c r="AU52" s="92" t="n">
        <v>0</v>
      </c>
      <c r="AV52" s="92" t="n">
        <v>0</v>
      </c>
      <c r="AW52" s="92" t="n">
        <v>1</v>
      </c>
    </row>
    <row r="53">
      <c r="A53" s="20" t="inlineStr">
        <is>
          <t>SM-0050</t>
        </is>
      </c>
      <c r="B53" s="20" t="inlineStr">
        <is>
          <t>SE-FMV-MCS-2023</t>
        </is>
      </c>
      <c r="C53" s="98" t="inlineStr">
        <is>
          <t>2023-05-31</t>
        </is>
      </c>
      <c r="D53" s="92" t="n">
        <v>2023</v>
      </c>
      <c r="E53" s="20" t="inlineStr">
        <is>
          <t>Sweden</t>
        </is>
      </c>
      <c r="F53" s="20" t="inlineStr">
        <is>
          <t>Swedish Defence Materiel Administration (FMV)</t>
        </is>
      </c>
      <c r="G53" s="20" t="inlineStr">
        <is>
          <t>Swedish FMV</t>
        </is>
      </c>
      <c r="H53" s="20" t="inlineStr">
        <is>
          <t>Defence / not disclosed</t>
        </is>
      </c>
      <c r="I53" s="20" t="inlineStr">
        <is>
          <t>Saab AB / Saab Barracuda AB</t>
        </is>
      </c>
      <c r="J53" s="20" t="inlineStr">
        <is>
          <t>Saab Barracuda</t>
        </is>
      </c>
      <c r="K53" s="20" t="inlineStr">
        <is>
          <t>Sweden</t>
        </is>
      </c>
      <c r="L53" s="20" t="inlineStr">
        <is>
          <t>Object-bound camouflage framework</t>
        </is>
      </c>
      <c r="M53" s="20" t="inlineStr">
        <is>
          <t>Vehicle Camouflage System</t>
        </is>
      </c>
      <c r="N53" s="20" t="inlineStr">
        <is>
          <t>Mobile Camouflage Systems</t>
        </is>
      </c>
      <c r="O53" s="20" t="inlineStr">
        <is>
          <t>Multispectral</t>
        </is>
      </c>
      <c r="P53" s="20" t="inlineStr">
        <is>
          <t>Framework / IDIQ</t>
        </is>
      </c>
      <c r="Q53" s="20" t="n"/>
      <c r="R53" s="20" t="inlineStr">
        <is>
          <t>No</t>
        </is>
      </c>
      <c r="S53" s="99" t="n"/>
      <c r="T53" s="20" t="inlineStr">
        <is>
          <t>Unknown</t>
        </is>
      </c>
      <c r="U53" s="20" t="n"/>
      <c r="V53" s="100" t="n"/>
      <c r="W53" s="20" t="n"/>
      <c r="X53" s="20" t="n"/>
      <c r="Y53" s="20" t="inlineStr">
        <is>
          <t>Framework / ceiling</t>
        </is>
      </c>
      <c r="Z53" s="20" t="inlineStr">
        <is>
          <t>No</t>
        </is>
      </c>
      <c r="AA53" s="20" t="inlineStr">
        <is>
          <t>Framework</t>
        </is>
      </c>
      <c r="AB53" s="20" t="inlineStr">
        <is>
          <t>Land</t>
        </is>
      </c>
      <c r="AC53" s="20" t="inlineStr">
        <is>
          <t>Yes</t>
        </is>
      </c>
      <c r="AD53" s="20" t="n"/>
      <c r="AE53" s="20" t="inlineStr">
        <is>
          <t>https://www.fmv.se/aktuellt--press/aktuella-handelser/fmv-tecknar-ramavtal-om-objektsbunden-maskering/</t>
        </is>
      </c>
      <c r="AF53" s="20" t="inlineStr">
        <is>
          <t>Official government / MOD procurement source</t>
        </is>
      </c>
      <c r="AG53" s="20" t="inlineStr">
        <is>
          <t>Primary / official</t>
        </is>
      </c>
      <c r="AH53" s="20" t="inlineStr">
        <is>
          <t>High</t>
        </is>
      </c>
      <c r="AI53" s="20" t="inlineStr">
        <is>
          <t>Framework value/ceiling not publicly disclosed in source reviewed.</t>
        </is>
      </c>
      <c r="AJ53" s="20" t="inlineStr">
        <is>
          <t>Yes</t>
        </is>
      </c>
      <c r="AK53" s="20" t="inlineStr">
        <is>
          <t>No</t>
        </is>
      </c>
      <c r="AL53" s="20" t="inlineStr">
        <is>
          <t>No</t>
        </is>
      </c>
      <c r="AM53" s="20" t="inlineStr">
        <is>
          <t>No</t>
        </is>
      </c>
      <c r="AN53" s="20" t="inlineStr">
        <is>
          <t>No</t>
        </is>
      </c>
      <c r="AO53" s="20" t="inlineStr">
        <is>
          <t>No</t>
        </is>
      </c>
      <c r="AP53" s="20" t="inlineStr">
        <is>
          <t>Included in Land core</t>
        </is>
      </c>
      <c r="AQ53" s="92" t="n">
        <v>1</v>
      </c>
      <c r="AR53" s="92" t="n">
        <v>0</v>
      </c>
      <c r="AS53" s="92" t="n">
        <v>1</v>
      </c>
      <c r="AT53" s="92" t="n">
        <v>1</v>
      </c>
      <c r="AU53" s="92" t="n">
        <v>1</v>
      </c>
      <c r="AV53" s="92" t="n">
        <v>1</v>
      </c>
      <c r="AW53" s="92" t="n">
        <v>0</v>
      </c>
    </row>
    <row r="54">
      <c r="A54" s="20" t="inlineStr">
        <is>
          <t>SM-0051</t>
        </is>
      </c>
      <c r="B54" s="20" t="inlineStr">
        <is>
          <t>NO-SAAB-MCS-4600002386</t>
        </is>
      </c>
      <c r="C54" s="98" t="inlineStr">
        <is>
          <t>2023-08-08</t>
        </is>
      </c>
      <c r="D54" s="92" t="n">
        <v>2023</v>
      </c>
      <c r="E54" s="20" t="inlineStr">
        <is>
          <t>Norway</t>
        </is>
      </c>
      <c r="F54" s="20" t="inlineStr">
        <is>
          <t>Norwegian Defence Materiel Agency (FMA)</t>
        </is>
      </c>
      <c r="G54" s="20" t="inlineStr">
        <is>
          <t>Norwegian FMA</t>
        </is>
      </c>
      <c r="H54" s="20" t="inlineStr">
        <is>
          <t>Army / Land</t>
        </is>
      </c>
      <c r="I54" s="20" t="inlineStr">
        <is>
          <t>Saab Barracuda AB</t>
        </is>
      </c>
      <c r="J54" s="20" t="inlineStr">
        <is>
          <t>Saab Barracuda</t>
        </is>
      </c>
      <c r="K54" s="20" t="inlineStr">
        <is>
          <t>Sweden</t>
        </is>
      </c>
      <c r="L54" s="20" t="inlineStr">
        <is>
          <t>Framework 4600002386 / IO 4502428546; P1092</t>
        </is>
      </c>
      <c r="M54" s="20" t="inlineStr">
        <is>
          <t>Mobile land platform; exact vehicle undisclosed</t>
        </is>
      </c>
      <c r="N54" s="20" t="inlineStr">
        <is>
          <t>Mobile camouflage systems</t>
        </is>
      </c>
      <c r="O54" s="20" t="inlineStr">
        <is>
          <t>Multispectral</t>
        </is>
      </c>
      <c r="P54" s="20" t="inlineStr">
        <is>
          <t>Call-off order</t>
        </is>
      </c>
      <c r="Q54" s="20" t="inlineStr">
        <is>
          <t>Order</t>
        </is>
      </c>
      <c r="R54" s="20" t="inlineStr">
        <is>
          <t>Yes</t>
        </is>
      </c>
      <c r="S54" s="99" t="n"/>
      <c r="T54" s="20" t="inlineStr">
        <is>
          <t>Unknown</t>
        </is>
      </c>
      <c r="U54" s="20" t="inlineStr">
        <is>
          <t>Unknown / not disclosed</t>
        </is>
      </c>
      <c r="V54" s="100" t="n"/>
      <c r="W54" s="20" t="n"/>
      <c r="X54" s="20" t="inlineStr">
        <is>
          <t>Undisclosed</t>
        </is>
      </c>
      <c r="Y54" s="20" t="inlineStr">
        <is>
          <t>Obligated / signed if disclosed</t>
        </is>
      </c>
      <c r="Z54" s="20" t="inlineStr">
        <is>
          <t>No</t>
        </is>
      </c>
      <c r="AA54" s="20" t="inlineStr">
        <is>
          <t>Production Procurement</t>
        </is>
      </c>
      <c r="AB54" s="20" t="inlineStr">
        <is>
          <t>Land</t>
        </is>
      </c>
      <c r="AC54" s="20" t="inlineStr">
        <is>
          <t>Yes</t>
        </is>
      </c>
      <c r="AD54" s="20" t="n"/>
      <c r="AE54" s="20" t="inlineStr">
        <is>
          <t>https://www.fma.no/aktuelt-og-media/offentlighet-innsyn/_/attachment/download/54dbde43-211e-4b55-9bc1-78a792890a6f%3A6cb3798e32a2c9bb85e5df73cc4178006191dd1f/FMA_offentlig_journal-uke-33-2023.pdf</t>
        </is>
      </c>
      <c r="AF54" s="20" t="inlineStr">
        <is>
          <t>Official government / procurement record</t>
        </is>
      </c>
      <c r="AG54" s="20" t="inlineStr">
        <is>
          <t>Primary / official</t>
        </is>
      </c>
      <c r="AH54" s="20" t="inlineStr">
        <is>
          <t>High</t>
        </is>
      </c>
      <c r="AI54" s="20" t="inlineStr">
        <is>
          <t>Official journal records a distinct purchase order under the framework; quantity and value are not public.</t>
        </is>
      </c>
      <c r="AJ54" s="20" t="inlineStr">
        <is>
          <t>No</t>
        </is>
      </c>
      <c r="AK54" s="20" t="inlineStr">
        <is>
          <t>No</t>
        </is>
      </c>
      <c r="AL54" s="20" t="inlineStr">
        <is>
          <t>No</t>
        </is>
      </c>
      <c r="AM54" s="20" t="inlineStr">
        <is>
          <t>Yes</t>
        </is>
      </c>
      <c r="AN54" s="20" t="inlineStr">
        <is>
          <t>No</t>
        </is>
      </c>
      <c r="AO54" s="20" t="inlineStr">
        <is>
          <t>Yes</t>
        </is>
      </c>
      <c r="AP54" s="20" t="inlineStr">
        <is>
          <t>Included in Land core</t>
        </is>
      </c>
      <c r="AQ54" s="92" t="n">
        <v>1</v>
      </c>
      <c r="AR54" s="92" t="n">
        <v>1</v>
      </c>
      <c r="AS54" s="92" t="n">
        <v>0</v>
      </c>
      <c r="AT54" s="92" t="n">
        <v>1</v>
      </c>
      <c r="AU54" s="92" t="n">
        <v>1</v>
      </c>
      <c r="AV54" s="92" t="n">
        <v>1</v>
      </c>
      <c r="AW54" s="92" t="n">
        <v>0</v>
      </c>
    </row>
    <row r="55">
      <c r="A55" s="20" t="inlineStr">
        <is>
          <t>SM-0053</t>
        </is>
      </c>
      <c r="B55" s="20" t="inlineStr">
        <is>
          <t>ULCANS-IDV-W911QY18D0210</t>
        </is>
      </c>
      <c r="C55" s="98" t="inlineStr">
        <is>
          <t>2023-09-12</t>
        </is>
      </c>
      <c r="D55" s="92" t="n">
        <v>2023</v>
      </c>
      <c r="E55" s="20" t="inlineStr">
        <is>
          <t>United States</t>
        </is>
      </c>
      <c r="F55" s="20" t="inlineStr">
        <is>
          <t>U.S. Army PEO CSCSS</t>
        </is>
      </c>
      <c r="G55" s="20" t="inlineStr">
        <is>
          <t>U.S. Army</t>
        </is>
      </c>
      <c r="H55" s="20" t="inlineStr">
        <is>
          <t>Army / Land</t>
        </is>
      </c>
      <c r="I55" s="20" t="inlineStr">
        <is>
          <t>Fibrotex USA Inc. / Fibrotex Technologies</t>
        </is>
      </c>
      <c r="J55" s="20" t="inlineStr">
        <is>
          <t>Fibrotex</t>
        </is>
      </c>
      <c r="K55" s="20" t="inlineStr">
        <is>
          <t>Israel / USA</t>
        </is>
      </c>
      <c r="L55" s="20" t="inlineStr">
        <is>
          <t>ULCANS CPI2 Shelter System</t>
        </is>
      </c>
      <c r="M55" s="20" t="inlineStr">
        <is>
          <t>Nets / Covers</t>
        </is>
      </c>
      <c r="N55" s="20" t="inlineStr">
        <is>
          <t>Critical design work</t>
        </is>
      </c>
      <c r="O55" s="20" t="inlineStr">
        <is>
          <t>Multispectral</t>
        </is>
      </c>
      <c r="P55" s="20" t="inlineStr">
        <is>
          <t>Funded Development</t>
        </is>
      </c>
      <c r="Q55" s="20" t="n"/>
      <c r="R55" s="20" t="inlineStr">
        <is>
          <t>No</t>
        </is>
      </c>
      <c r="S55" s="99" t="n"/>
      <c r="T55" s="20" t="inlineStr">
        <is>
          <t>Unknown</t>
        </is>
      </c>
      <c r="U55" s="20" t="n"/>
      <c r="V55" s="100" t="inlineStr">
        <is>
          <t>468750.0</t>
        </is>
      </c>
      <c r="W55" s="20" t="inlineStr">
        <is>
          <t>USD</t>
        </is>
      </c>
      <c r="X55" s="20" t="n"/>
      <c r="Y55" s="20" t="inlineStr">
        <is>
          <t>Obligated / signed if disclosed</t>
        </is>
      </c>
      <c r="Z55" s="20" t="inlineStr">
        <is>
          <t>No</t>
        </is>
      </c>
      <c r="AA55" s="20" t="inlineStr">
        <is>
          <t>Development / Validation</t>
        </is>
      </c>
      <c r="AB55" s="20" t="inlineStr">
        <is>
          <t>Land</t>
        </is>
      </c>
      <c r="AC55" s="20" t="inlineStr">
        <is>
          <t>Yes</t>
        </is>
      </c>
      <c r="AD55" s="20" t="n"/>
      <c r="AE55" s="20" t="inlineStr">
        <is>
          <t>https://www.highergov.com/contract/W911QY18D0210-W911QY23F0196/</t>
        </is>
      </c>
      <c r="AF55" s="20" t="inlineStr">
        <is>
          <t>Other credible third-party source (FPDS/SAM-derived)</t>
        </is>
      </c>
      <c r="AG55" s="20" t="inlineStr">
        <is>
          <t>Secondary / aggregator</t>
        </is>
      </c>
      <c r="AH55" s="20" t="inlineStr">
        <is>
          <t>High</t>
        </is>
      </c>
      <c r="AI55" s="20" t="inlineStr">
        <is>
          <t>Distinct delivery/order event. Parent ULCANS IDIQ ceiling is not counted as sales; amendments are not separate events.</t>
        </is>
      </c>
      <c r="AJ55" s="20" t="inlineStr">
        <is>
          <t>Yes</t>
        </is>
      </c>
      <c r="AK55" s="20" t="inlineStr">
        <is>
          <t>No</t>
        </is>
      </c>
      <c r="AL55" s="20" t="inlineStr">
        <is>
          <t>No</t>
        </is>
      </c>
      <c r="AM55" s="20" t="inlineStr">
        <is>
          <t>No</t>
        </is>
      </c>
      <c r="AN55" s="20" t="inlineStr">
        <is>
          <t>No</t>
        </is>
      </c>
      <c r="AO55" s="20" t="inlineStr">
        <is>
          <t>Yes</t>
        </is>
      </c>
      <c r="AP55" s="20" t="inlineStr">
        <is>
          <t>Included in Land core</t>
        </is>
      </c>
      <c r="AQ55" s="92" t="n">
        <v>0</v>
      </c>
      <c r="AR55" s="92" t="n">
        <v>0</v>
      </c>
      <c r="AS55" s="92" t="n">
        <v>0</v>
      </c>
      <c r="AT55" s="92" t="n">
        <v>0</v>
      </c>
      <c r="AU55" s="92" t="n">
        <v>0</v>
      </c>
      <c r="AV55" s="92" t="n">
        <v>0</v>
      </c>
      <c r="AW55" s="92" t="n">
        <v>0</v>
      </c>
    </row>
    <row r="56">
      <c r="A56" s="20" t="inlineStr">
        <is>
          <t>SM-0054</t>
        </is>
      </c>
      <c r="B56" s="20" t="inlineStr">
        <is>
          <t>PPG-FA930221D0009</t>
        </is>
      </c>
      <c r="C56" s="98" t="inlineStr">
        <is>
          <t>2023-09-28</t>
        </is>
      </c>
      <c r="D56" s="92" t="n">
        <v>2023</v>
      </c>
      <c r="E56" s="20" t="inlineStr">
        <is>
          <t>United States</t>
        </is>
      </c>
      <c r="F56" s="20" t="inlineStr">
        <is>
          <t>Air Force Test Center / USAF</t>
        </is>
      </c>
      <c r="G56" s="20" t="inlineStr">
        <is>
          <t>U.S. Air Force</t>
        </is>
      </c>
      <c r="H56" s="20" t="inlineStr">
        <is>
          <t>Air Force / Aviation</t>
        </is>
      </c>
      <c r="I56" s="20" t="inlineStr">
        <is>
          <t>PPG Industries, Inc.</t>
        </is>
      </c>
      <c r="J56" s="20" t="inlineStr">
        <is>
          <t>PPG</t>
        </is>
      </c>
      <c r="K56" s="20" t="inlineStr">
        <is>
          <t>USA</t>
        </is>
      </c>
      <c r="L56" s="20" t="inlineStr">
        <is>
          <t>FA930221D0009 Radar Absorbent Material IDIQ</t>
        </is>
      </c>
      <c r="M56" s="20" t="inlineStr">
        <is>
          <t>RAM / Composite</t>
        </is>
      </c>
      <c r="N56" s="20" t="inlineStr">
        <is>
          <t>Radar Absorbent Material</t>
        </is>
      </c>
      <c r="O56" s="20" t="inlineStr">
        <is>
          <t>Radar / RCS</t>
        </is>
      </c>
      <c r="P56" s="20" t="inlineStr">
        <is>
          <t>Order</t>
        </is>
      </c>
      <c r="Q56" s="20" t="n"/>
      <c r="R56" s="20" t="inlineStr">
        <is>
          <t>Yes</t>
        </is>
      </c>
      <c r="S56" s="99" t="n"/>
      <c r="T56" s="20" t="inlineStr">
        <is>
          <t>Unknown</t>
        </is>
      </c>
      <c r="U56" s="20" t="n"/>
      <c r="V56" s="100" t="inlineStr">
        <is>
          <t>124900.0</t>
        </is>
      </c>
      <c r="W56" s="20" t="inlineStr">
        <is>
          <t>USD</t>
        </is>
      </c>
      <c r="X56" s="20" t="n"/>
      <c r="Y56" s="20" t="inlineStr">
        <is>
          <t>Obligated / signed if disclosed</t>
        </is>
      </c>
      <c r="Z56" s="20" t="inlineStr">
        <is>
          <t>No</t>
        </is>
      </c>
      <c r="AA56" s="20" t="inlineStr">
        <is>
          <t>Production Procurement</t>
        </is>
      </c>
      <c r="AB56" s="20" t="inlineStr">
        <is>
          <t>Aviation</t>
        </is>
      </c>
      <c r="AC56" s="20" t="inlineStr">
        <is>
          <t>No</t>
        </is>
      </c>
      <c r="AD56" s="20" t="inlineStr">
        <is>
          <t>Aviation-only</t>
        </is>
      </c>
      <c r="AE56" s="20" t="inlineStr">
        <is>
          <t>https://www.highergov.com/idv/FA930221D0009/</t>
        </is>
      </c>
      <c r="AF56" s="20" t="inlineStr">
        <is>
          <t>Other credible third-party source (FPDS/SAM-derived)</t>
        </is>
      </c>
      <c r="AG56" s="20" t="inlineStr">
        <is>
          <t>Secondary / aggregator</t>
        </is>
      </c>
      <c r="AH56" s="20" t="inlineStr">
        <is>
          <t>High</t>
        </is>
      </c>
      <c r="AI56" s="20" t="inlineStr">
        <is>
          <t>Task-order value is actual obligation/order; the $4.999999m parent IDIQ ceiling is not counted as sales.</t>
        </is>
      </c>
      <c r="AJ56" s="20" t="inlineStr">
        <is>
          <t>Yes</t>
        </is>
      </c>
      <c r="AK56" s="20" t="inlineStr">
        <is>
          <t>No</t>
        </is>
      </c>
      <c r="AL56" s="20" t="inlineStr">
        <is>
          <t>No</t>
        </is>
      </c>
      <c r="AM56" s="20" t="inlineStr">
        <is>
          <t>No</t>
        </is>
      </c>
      <c r="AN56" s="20" t="inlineStr">
        <is>
          <t>No</t>
        </is>
      </c>
      <c r="AO56" s="20" t="inlineStr">
        <is>
          <t>Yes</t>
        </is>
      </c>
      <c r="AP56" s="20" t="inlineStr">
        <is>
          <t>Retained as contextual; excluded from Land core</t>
        </is>
      </c>
      <c r="AQ56" s="92" t="n">
        <v>0</v>
      </c>
      <c r="AR56" s="92" t="n">
        <v>0</v>
      </c>
      <c r="AS56" s="92" t="n">
        <v>0</v>
      </c>
      <c r="AT56" s="92" t="n">
        <v>0</v>
      </c>
      <c r="AU56" s="92" t="n">
        <v>0</v>
      </c>
      <c r="AV56" s="92" t="n">
        <v>0</v>
      </c>
      <c r="AW56" s="92" t="n">
        <v>0</v>
      </c>
    </row>
    <row r="57">
      <c r="A57" s="20" t="inlineStr">
        <is>
          <t>SM-0055</t>
        </is>
      </c>
      <c r="B57" s="20" t="inlineStr">
        <is>
          <t>NO-SAAB-MCS-4600002386</t>
        </is>
      </c>
      <c r="C57" s="98" t="inlineStr">
        <is>
          <t>2023-10-05</t>
        </is>
      </c>
      <c r="D57" s="92" t="n">
        <v>2023</v>
      </c>
      <c r="E57" s="20" t="inlineStr">
        <is>
          <t>Norway</t>
        </is>
      </c>
      <c r="F57" s="20" t="inlineStr">
        <is>
          <t>Norwegian Defence Materiel Agency / Forsvarsmateriell</t>
        </is>
      </c>
      <c r="G57" s="20" t="inlineStr">
        <is>
          <t>Norwegian FMA</t>
        </is>
      </c>
      <c r="H57" s="20" t="inlineStr">
        <is>
          <t>Army / Land</t>
        </is>
      </c>
      <c r="I57" s="20" t="inlineStr">
        <is>
          <t>Saab Barracuda AB</t>
        </is>
      </c>
      <c r="J57" s="20" t="inlineStr">
        <is>
          <t>Saab Barracuda</t>
        </is>
      </c>
      <c r="K57" s="20" t="inlineStr">
        <is>
          <t>Sweden</t>
        </is>
      </c>
      <c r="L57" s="20" t="inlineStr">
        <is>
          <t>Framework 4600002386 / PO 4502447296; P5049/P5430</t>
        </is>
      </c>
      <c r="M57" s="20" t="inlineStr">
        <is>
          <t>Mobile land platform</t>
        </is>
      </c>
      <c r="N57" s="20" t="inlineStr">
        <is>
          <t>Mobile Camouflage System for WiSENT 2 ARV/AEV</t>
        </is>
      </c>
      <c r="O57" s="20" t="inlineStr">
        <is>
          <t>Multispectral; exact bands not itemised in journal</t>
        </is>
      </c>
      <c r="P57" s="20" t="inlineStr">
        <is>
          <t>Call-off order</t>
        </is>
      </c>
      <c r="Q57" s="20" t="inlineStr">
        <is>
          <t>Order</t>
        </is>
      </c>
      <c r="R57" s="20" t="inlineStr">
        <is>
          <t>Yes</t>
        </is>
      </c>
      <c r="S57" s="99" t="n"/>
      <c r="T57" s="20" t="inlineStr">
        <is>
          <t>Unknown</t>
        </is>
      </c>
      <c r="U57" s="20" t="n"/>
      <c r="V57" s="100" t="inlineStr">
        <is>
          <t>Not disclosed</t>
        </is>
      </c>
      <c r="W57" s="20" t="n"/>
      <c r="X57" s="20" t="n"/>
      <c r="Y57" s="20" t="inlineStr">
        <is>
          <t>Obligated / signed if disclosed</t>
        </is>
      </c>
      <c r="Z57" s="20" t="inlineStr">
        <is>
          <t>Yes</t>
        </is>
      </c>
      <c r="AA57" s="20" t="inlineStr">
        <is>
          <t>Production Procurement</t>
        </is>
      </c>
      <c r="AB57" s="20" t="inlineStr">
        <is>
          <t>Land</t>
        </is>
      </c>
      <c r="AC57" s="20" t="inlineStr">
        <is>
          <t>Yes</t>
        </is>
      </c>
      <c r="AD57" s="20" t="n"/>
      <c r="AE57" s="20" t="inlineStr">
        <is>
          <t>https://www.fma.no/aktuelt-og-media/offentlighet-innsyn/_/attachment/download/1acf3d2f-f2b2-48f1-85fe-a157d81381a2%3Aa3ac61af74ee36d7a5026f8005269d8610400a01/FMA_offentlig_journal-uke-41-2023.pdf</t>
        </is>
      </c>
      <c r="AF57" s="20" t="inlineStr">
        <is>
          <t>Official public journal (from company-master research)</t>
        </is>
      </c>
      <c r="AG57" s="20" t="inlineStr">
        <is>
          <t>Secondary / aggregator</t>
        </is>
      </c>
      <c r="AH57" s="20" t="inlineStr">
        <is>
          <t>Medium</t>
        </is>
      </c>
      <c r="AI57" s="20" t="inlineStr">
        <is>
          <t>Same Norwegian framework family as 2024 call-off; value and quantity not public.</t>
        </is>
      </c>
      <c r="AJ57" s="20" t="inlineStr">
        <is>
          <t>No</t>
        </is>
      </c>
      <c r="AK57" s="20" t="inlineStr">
        <is>
          <t>No</t>
        </is>
      </c>
      <c r="AL57" s="20" t="inlineStr">
        <is>
          <t>Yes</t>
        </is>
      </c>
      <c r="AM57" s="20" t="inlineStr">
        <is>
          <t>No</t>
        </is>
      </c>
      <c r="AN57" s="20" t="inlineStr">
        <is>
          <t>No</t>
        </is>
      </c>
      <c r="AO57" s="20" t="inlineStr">
        <is>
          <t>Yes</t>
        </is>
      </c>
      <c r="AP57" s="20" t="inlineStr">
        <is>
          <t>Included in Land core</t>
        </is>
      </c>
      <c r="AQ57" s="92" t="n">
        <v>0</v>
      </c>
      <c r="AR57" s="92" t="n">
        <v>0</v>
      </c>
      <c r="AS57" s="92" t="n">
        <v>0</v>
      </c>
      <c r="AT57" s="92" t="n">
        <v>0</v>
      </c>
      <c r="AU57" s="92" t="n">
        <v>0</v>
      </c>
      <c r="AV57" s="92" t="n">
        <v>0</v>
      </c>
      <c r="AW57" s="92" t="n">
        <v>1</v>
      </c>
    </row>
    <row r="58">
      <c r="A58" s="20" t="inlineStr">
        <is>
          <t>SM-0056</t>
        </is>
      </c>
      <c r="B58" s="20" t="inlineStr">
        <is>
          <t>PPG-FA930221D0009</t>
        </is>
      </c>
      <c r="C58" s="98" t="inlineStr">
        <is>
          <t>2023-11-15</t>
        </is>
      </c>
      <c r="D58" s="92" t="n">
        <v>2023</v>
      </c>
      <c r="E58" s="20" t="inlineStr">
        <is>
          <t>United States</t>
        </is>
      </c>
      <c r="F58" s="20" t="inlineStr">
        <is>
          <t>Air Force Test Center / USAF</t>
        </is>
      </c>
      <c r="G58" s="20" t="inlineStr">
        <is>
          <t>U.S. Air Force</t>
        </is>
      </c>
      <c r="H58" s="20" t="inlineStr">
        <is>
          <t>Air Force / Aviation</t>
        </is>
      </c>
      <c r="I58" s="20" t="inlineStr">
        <is>
          <t>PPG Industries, Inc.</t>
        </is>
      </c>
      <c r="J58" s="20" t="inlineStr">
        <is>
          <t>PPG</t>
        </is>
      </c>
      <c r="K58" s="20" t="inlineStr">
        <is>
          <t>USA</t>
        </is>
      </c>
      <c r="L58" s="20" t="inlineStr">
        <is>
          <t>FA930221D0009 Radar Absorbent Material IDIQ</t>
        </is>
      </c>
      <c r="M58" s="20" t="inlineStr">
        <is>
          <t>RAM / Composite</t>
        </is>
      </c>
      <c r="N58" s="20" t="inlineStr">
        <is>
          <t>Radar Absorbent Material</t>
        </is>
      </c>
      <c r="O58" s="20" t="inlineStr">
        <is>
          <t>Radar / RCS</t>
        </is>
      </c>
      <c r="P58" s="20" t="inlineStr">
        <is>
          <t>Order</t>
        </is>
      </c>
      <c r="Q58" s="20" t="n"/>
      <c r="R58" s="20" t="inlineStr">
        <is>
          <t>Yes</t>
        </is>
      </c>
      <c r="S58" s="99" t="n"/>
      <c r="T58" s="20" t="inlineStr">
        <is>
          <t>Unknown</t>
        </is>
      </c>
      <c r="U58" s="20" t="n"/>
      <c r="V58" s="100" t="inlineStr">
        <is>
          <t>249800.0</t>
        </is>
      </c>
      <c r="W58" s="20" t="inlineStr">
        <is>
          <t>USD</t>
        </is>
      </c>
      <c r="X58" s="20" t="n"/>
      <c r="Y58" s="20" t="inlineStr">
        <is>
          <t>Obligated / signed if disclosed</t>
        </is>
      </c>
      <c r="Z58" s="20" t="inlineStr">
        <is>
          <t>No</t>
        </is>
      </c>
      <c r="AA58" s="20" t="inlineStr">
        <is>
          <t>Production Procurement</t>
        </is>
      </c>
      <c r="AB58" s="20" t="inlineStr">
        <is>
          <t>Aviation</t>
        </is>
      </c>
      <c r="AC58" s="20" t="inlineStr">
        <is>
          <t>No</t>
        </is>
      </c>
      <c r="AD58" s="20" t="inlineStr">
        <is>
          <t>Aviation-only</t>
        </is>
      </c>
      <c r="AE58" s="20" t="inlineStr">
        <is>
          <t>https://www.highergov.com/idv/FA930221D0009/</t>
        </is>
      </c>
      <c r="AF58" s="20" t="inlineStr">
        <is>
          <t>Other credible third-party source (FPDS/SAM-derived)</t>
        </is>
      </c>
      <c r="AG58" s="20" t="inlineStr">
        <is>
          <t>Secondary / aggregator</t>
        </is>
      </c>
      <c r="AH58" s="20" t="inlineStr">
        <is>
          <t>High</t>
        </is>
      </c>
      <c r="AI58" s="20" t="inlineStr">
        <is>
          <t>Task-order value is actual obligation/order; the $4.999999m parent IDIQ ceiling is not counted as sales.</t>
        </is>
      </c>
      <c r="AJ58" s="20" t="inlineStr">
        <is>
          <t>Yes</t>
        </is>
      </c>
      <c r="AK58" s="20" t="inlineStr">
        <is>
          <t>No</t>
        </is>
      </c>
      <c r="AL58" s="20" t="inlineStr">
        <is>
          <t>No</t>
        </is>
      </c>
      <c r="AM58" s="20" t="inlineStr">
        <is>
          <t>No</t>
        </is>
      </c>
      <c r="AN58" s="20" t="inlineStr">
        <is>
          <t>No</t>
        </is>
      </c>
      <c r="AO58" s="20" t="inlineStr">
        <is>
          <t>Yes</t>
        </is>
      </c>
      <c r="AP58" s="20" t="inlineStr">
        <is>
          <t>Retained as contextual; excluded from Land core</t>
        </is>
      </c>
      <c r="AQ58" s="92" t="n">
        <v>0</v>
      </c>
      <c r="AR58" s="92" t="n">
        <v>0</v>
      </c>
      <c r="AS58" s="92" t="n">
        <v>0</v>
      </c>
      <c r="AT58" s="92" t="n">
        <v>0</v>
      </c>
      <c r="AU58" s="92" t="n">
        <v>0</v>
      </c>
      <c r="AV58" s="92" t="n">
        <v>0</v>
      </c>
      <c r="AW58" s="92" t="n">
        <v>0</v>
      </c>
    </row>
    <row r="59">
      <c r="A59" s="20" t="inlineStr">
        <is>
          <t>SM-0052</t>
        </is>
      </c>
      <c r="B59" s="20" t="inlineStr">
        <is>
          <t>ARC-USN-RAM</t>
        </is>
      </c>
      <c r="C59" s="98" t="inlineStr">
        <is>
          <t>2023-08</t>
        </is>
      </c>
      <c r="D59" s="92" t="n">
        <v>2023</v>
      </c>
      <c r="E59" s="20" t="inlineStr">
        <is>
          <t>United States</t>
        </is>
      </c>
      <c r="F59" s="20" t="inlineStr">
        <is>
          <t>NSWC Dahlgren Division / U.S. Navy</t>
        </is>
      </c>
      <c r="G59" s="20" t="inlineStr">
        <is>
          <t>U.S. Navy</t>
        </is>
      </c>
      <c r="H59" s="20" t="inlineStr">
        <is>
          <t>Navy</t>
        </is>
      </c>
      <c r="I59" s="20" t="inlineStr">
        <is>
          <t>ARC Technologies LLC (Hexcel subsidiary)</t>
        </is>
      </c>
      <c r="J59" s="20" t="inlineStr">
        <is>
          <t>ARC Technologies / Hexcel</t>
        </is>
      </c>
      <c r="K59" s="20" t="inlineStr">
        <is>
          <t>USA</t>
        </is>
      </c>
      <c r="L59" s="20" t="inlineStr">
        <is>
          <t>Radar Absorbent Material procurement</t>
        </is>
      </c>
      <c r="M59" s="20" t="inlineStr">
        <is>
          <t>RAM / Composite</t>
        </is>
      </c>
      <c r="N59" s="20" t="inlineStr">
        <is>
          <t>ARC Technologies proprietary Radar Absorbent Material</t>
        </is>
      </c>
      <c r="O59" s="20" t="inlineStr">
        <is>
          <t>Radar / RCS</t>
        </is>
      </c>
      <c r="P59" s="20" t="inlineStr">
        <is>
          <t>Contract Award</t>
        </is>
      </c>
      <c r="Q59" s="20" t="n"/>
      <c r="R59" s="20" t="inlineStr">
        <is>
          <t>Yes</t>
        </is>
      </c>
      <c r="S59" s="99" t="n"/>
      <c r="T59" s="20" t="inlineStr">
        <is>
          <t>Unknown</t>
        </is>
      </c>
      <c r="U59" s="20" t="n"/>
      <c r="V59" s="100" t="inlineStr">
        <is>
          <t>82882.0</t>
        </is>
      </c>
      <c r="W59" s="20" t="inlineStr">
        <is>
          <t>USD</t>
        </is>
      </c>
      <c r="X59" s="20" t="n"/>
      <c r="Y59" s="20" t="inlineStr">
        <is>
          <t>Obligated / signed if disclosed</t>
        </is>
      </c>
      <c r="Z59" s="20" t="inlineStr">
        <is>
          <t>No</t>
        </is>
      </c>
      <c r="AA59" s="20" t="inlineStr">
        <is>
          <t>Production Procurement</t>
        </is>
      </c>
      <c r="AB59" s="20" t="inlineStr">
        <is>
          <t>Maritime</t>
        </is>
      </c>
      <c r="AC59" s="20" t="inlineStr">
        <is>
          <t>No</t>
        </is>
      </c>
      <c r="AD59" s="20" t="inlineStr">
        <is>
          <t>Maritime/contextual</t>
        </is>
      </c>
      <c r="AE59" s="20" t="inlineStr">
        <is>
          <t>https://www.highergov.com/contract/N0017823P6872/</t>
        </is>
      </c>
      <c r="AF59" s="20" t="inlineStr">
        <is>
          <t>Other credible third-party source (FPDS/SAM-derived)</t>
        </is>
      </c>
      <c r="AG59" s="20" t="inlineStr">
        <is>
          <t>Secondary / aggregator</t>
        </is>
      </c>
      <c r="AH59" s="20" t="inlineStr">
        <is>
          <t>High</t>
        </is>
      </c>
      <c r="AI59" s="20" t="inlineStr">
        <is>
          <t>Distinct purchase order; do not merge with later RAM RFQs/orders.</t>
        </is>
      </c>
      <c r="AJ59" s="20" t="inlineStr">
        <is>
          <t>Yes</t>
        </is>
      </c>
      <c r="AK59" s="20" t="inlineStr">
        <is>
          <t>No</t>
        </is>
      </c>
      <c r="AL59" s="20" t="inlineStr">
        <is>
          <t>No</t>
        </is>
      </c>
      <c r="AM59" s="20" t="inlineStr">
        <is>
          <t>No</t>
        </is>
      </c>
      <c r="AN59" s="20" t="inlineStr">
        <is>
          <t>No</t>
        </is>
      </c>
      <c r="AO59" s="20" t="inlineStr">
        <is>
          <t>Yes</t>
        </is>
      </c>
      <c r="AP59" s="20" t="inlineStr">
        <is>
          <t>Retained as contextual; excluded from Land core</t>
        </is>
      </c>
      <c r="AQ59" s="92" t="n">
        <v>0</v>
      </c>
      <c r="AR59" s="92" t="n">
        <v>0</v>
      </c>
      <c r="AS59" s="92" t="n">
        <v>0</v>
      </c>
      <c r="AT59" s="92" t="n">
        <v>0</v>
      </c>
      <c r="AU59" s="92" t="n">
        <v>0</v>
      </c>
      <c r="AV59" s="92" t="n">
        <v>0</v>
      </c>
      <c r="AW59" s="92" t="n">
        <v>0</v>
      </c>
    </row>
    <row r="60">
      <c r="A60" s="20" t="inlineStr">
        <is>
          <t>SM-0057</t>
        </is>
      </c>
      <c r="B60" s="20" t="inlineStr">
        <is>
          <t>ULCANS-IDV-W911QY18D0210</t>
        </is>
      </c>
      <c r="C60" s="98" t="inlineStr">
        <is>
          <t>2023</t>
        </is>
      </c>
      <c r="D60" s="92" t="n">
        <v>2023</v>
      </c>
      <c r="E60" s="20" t="inlineStr">
        <is>
          <t>United States</t>
        </is>
      </c>
      <c r="F60" s="20" t="inlineStr">
        <is>
          <t>U.S. Army / USMC</t>
        </is>
      </c>
      <c r="G60" s="20" t="inlineStr">
        <is>
          <t>U.S. Army</t>
        </is>
      </c>
      <c r="H60" s="20" t="inlineStr">
        <is>
          <t>Army / Land</t>
        </is>
      </c>
      <c r="I60" s="20" t="inlineStr">
        <is>
          <t>Fibrotex USA Inc. / Fibrotex Technologies</t>
        </is>
      </c>
      <c r="J60" s="20" t="inlineStr">
        <is>
          <t>Fibrotex</t>
        </is>
      </c>
      <c r="K60" s="20" t="inlineStr">
        <is>
          <t>Israel / USA</t>
        </is>
      </c>
      <c r="L60" s="20" t="inlineStr">
        <is>
          <t>ULCANS</t>
        </is>
      </c>
      <c r="M60" s="20" t="inlineStr">
        <is>
          <t>Nets / Covers</t>
        </is>
      </c>
      <c r="N60" s="20" t="inlineStr">
        <is>
          <t>Production units / ILSC spare-repair for USMC</t>
        </is>
      </c>
      <c r="O60" s="20" t="inlineStr">
        <is>
          <t>Multispectral</t>
        </is>
      </c>
      <c r="P60" s="20" t="inlineStr">
        <is>
          <t>Order</t>
        </is>
      </c>
      <c r="Q60" s="20" t="n"/>
      <c r="R60" s="20" t="inlineStr">
        <is>
          <t>Yes</t>
        </is>
      </c>
      <c r="S60" s="99" t="n"/>
      <c r="T60" s="20" t="inlineStr">
        <is>
          <t>Unknown</t>
        </is>
      </c>
      <c r="U60" s="20" t="n"/>
      <c r="V60" s="100" t="inlineStr">
        <is>
          <t>26600000.0</t>
        </is>
      </c>
      <c r="W60" s="20" t="inlineStr">
        <is>
          <t>USD</t>
        </is>
      </c>
      <c r="X60" s="20" t="n"/>
      <c r="Y60" s="20" t="inlineStr">
        <is>
          <t>Obligated / signed if disclosed</t>
        </is>
      </c>
      <c r="Z60" s="20" t="inlineStr">
        <is>
          <t>Yes</t>
        </is>
      </c>
      <c r="AA60" s="20" t="inlineStr">
        <is>
          <t>Production Procurement</t>
        </is>
      </c>
      <c r="AB60" s="20" t="inlineStr">
        <is>
          <t>Land</t>
        </is>
      </c>
      <c r="AC60" s="20" t="inlineStr">
        <is>
          <t>Yes</t>
        </is>
      </c>
      <c r="AD60" s="20" t="n"/>
      <c r="AE60" s="20" t="inlineStr">
        <is>
          <t>https://www.highergov.com/awardee/fibrotex-usa-inc-12685034/</t>
        </is>
      </c>
      <c r="AF60" s="20" t="inlineStr">
        <is>
          <t>Other credible third-party source (FPDS/SAM-derived)</t>
        </is>
      </c>
      <c r="AG60" s="20" t="inlineStr">
        <is>
          <t>Secondary / aggregator</t>
        </is>
      </c>
      <c r="AH60" s="20" t="inlineStr">
        <is>
          <t>High</t>
        </is>
      </c>
      <c r="AI60" s="20" t="inlineStr">
        <is>
          <t>Distinct delivery/order event. Parent ULCANS IDIQ ceiling is not counted as sales; amendments are not separate events.</t>
        </is>
      </c>
      <c r="AJ60" s="20" t="inlineStr">
        <is>
          <t>Yes</t>
        </is>
      </c>
      <c r="AK60" s="20" t="inlineStr">
        <is>
          <t>No</t>
        </is>
      </c>
      <c r="AL60" s="20" t="inlineStr">
        <is>
          <t>No</t>
        </is>
      </c>
      <c r="AM60" s="20" t="inlineStr">
        <is>
          <t>No</t>
        </is>
      </c>
      <c r="AN60" s="20" t="inlineStr">
        <is>
          <t>No</t>
        </is>
      </c>
      <c r="AO60" s="20" t="inlineStr">
        <is>
          <t>Yes</t>
        </is>
      </c>
      <c r="AP60" s="20" t="inlineStr">
        <is>
          <t>Included in Land core</t>
        </is>
      </c>
      <c r="AQ60" s="92" t="n">
        <v>0</v>
      </c>
      <c r="AR60" s="92" t="n">
        <v>0</v>
      </c>
      <c r="AS60" s="92" t="n">
        <v>0</v>
      </c>
      <c r="AT60" s="92" t="n">
        <v>0</v>
      </c>
      <c r="AU60" s="92" t="n">
        <v>0</v>
      </c>
      <c r="AV60" s="92" t="n">
        <v>0</v>
      </c>
      <c r="AW60" s="92" t="n">
        <v>1</v>
      </c>
    </row>
    <row r="61">
      <c r="A61" s="20" t="inlineStr">
        <is>
          <t>SM-0058</t>
        </is>
      </c>
      <c r="B61" s="20" t="inlineStr">
        <is>
          <t>FR-FENRIR</t>
        </is>
      </c>
      <c r="C61" s="98" t="inlineStr">
        <is>
          <t>2024-01-21</t>
        </is>
      </c>
      <c r="D61" s="92" t="n">
        <v>2024</v>
      </c>
      <c r="E61" s="20" t="inlineStr">
        <is>
          <t>France</t>
        </is>
      </c>
      <c r="F61" s="20" t="inlineStr">
        <is>
          <t>Direction générale de l’armement (DGA)</t>
        </is>
      </c>
      <c r="G61" s="20" t="inlineStr">
        <is>
          <t>French DGA</t>
        </is>
      </c>
      <c r="H61" s="20" t="inlineStr">
        <is>
          <t>Defence / not disclosed</t>
        </is>
      </c>
      <c r="I61" s="20" t="inlineStr">
        <is>
          <t>Saab AB / Saab Barracuda AB</t>
        </is>
      </c>
      <c r="J61" s="20" t="inlineStr">
        <is>
          <t>Saab Barracuda</t>
        </is>
      </c>
      <c r="K61" s="20" t="inlineStr">
        <is>
          <t>Sweden</t>
        </is>
      </c>
      <c r="L61" s="20" t="inlineStr">
        <is>
          <t>FENRIR (Filet écran radar-IR) — French Army and Air &amp; Space Force command posts, vehicles, weapons</t>
        </is>
      </c>
      <c r="M61" s="20" t="inlineStr">
        <is>
          <t>Nets / Covers</t>
        </is>
      </c>
      <c r="N61" s="20" t="inlineStr">
        <is>
          <t>Barracuda multispectral camouflage nets (3 sizes, 4 environments: N-Europe, S-Europe, desert, snow)</t>
        </is>
      </c>
      <c r="O61" s="20" t="inlineStr">
        <is>
          <t>VIS / Optical; IR / Thermal; Radar / RCS; Multispectral</t>
        </is>
      </c>
      <c r="P61" s="20" t="inlineStr">
        <is>
          <t>Order</t>
        </is>
      </c>
      <c r="Q61" s="20" t="n"/>
      <c r="R61" s="20" t="inlineStr">
        <is>
          <t>Yes</t>
        </is>
      </c>
      <c r="S61" s="99" t="inlineStr">
        <is>
          <t>3000</t>
        </is>
      </c>
      <c r="T61" s="20" t="inlineStr">
        <is>
          <t>nets</t>
        </is>
      </c>
      <c r="U61" s="20" t="n"/>
      <c r="V61" s="100" t="inlineStr">
        <is>
          <t>20000000.0</t>
        </is>
      </c>
      <c r="W61" s="20" t="inlineStr">
        <is>
          <t>EUR</t>
        </is>
      </c>
      <c r="X61" s="20" t="n"/>
      <c r="Y61" s="20" t="inlineStr">
        <is>
          <t>Obligated / signed if disclosed</t>
        </is>
      </c>
      <c r="Z61" s="20" t="inlineStr">
        <is>
          <t>No</t>
        </is>
      </c>
      <c r="AA61" s="20" t="inlineStr">
        <is>
          <t>Production Procurement</t>
        </is>
      </c>
      <c r="AB61" s="20" t="inlineStr">
        <is>
          <t>Land</t>
        </is>
      </c>
      <c r="AC61" s="20" t="inlineStr">
        <is>
          <t>Yes</t>
        </is>
      </c>
      <c r="AD61" s="20" t="str"/>
      <c r="AE61" s="20" t="inlineStr">
        <is>
          <t>https://www.defense.gouv.fr/dga/actualites/dga-commande-3-000-filets-camouflage-multispectral-saab</t>
        </is>
      </c>
      <c r="AF61" s="20" t="inlineStr">
        <is>
          <t>Official government / MOD procurement source</t>
        </is>
      </c>
      <c r="AG61" s="20" t="inlineStr">
        <is>
          <t>Primary / official</t>
        </is>
      </c>
      <c r="AH61" s="20" t="inlineStr">
        <is>
          <t>High</t>
        </is>
      </c>
      <c r="AI61" s="20" t="inlineStr">
        <is>
          <t>Call-off under the 8-year Saab–DGA Barracuda framework signed January 2022 (framework itself is OUTSIDE the 2023–26 window and must not be logged as a 2023 event). Some secondary Saab editorial copy dates this relationship to "early 2023" — that is imprecise; the in-window transaction is the 2024-01-21 order. No framework ceiling disclosed.</t>
        </is>
      </c>
      <c r="AJ61" s="20" t="inlineStr">
        <is>
          <t>Yes</t>
        </is>
      </c>
      <c r="AK61" s="20" t="inlineStr">
        <is>
          <t>No</t>
        </is>
      </c>
      <c r="AL61" s="20" t="inlineStr">
        <is>
          <t>No</t>
        </is>
      </c>
      <c r="AM61" s="20" t="inlineStr">
        <is>
          <t>No</t>
        </is>
      </c>
      <c r="AN61" s="20" t="inlineStr">
        <is>
          <t>No</t>
        </is>
      </c>
      <c r="AO61" s="20" t="inlineStr">
        <is>
          <t>Yes</t>
        </is>
      </c>
      <c r="AP61" s="20" t="inlineStr">
        <is>
          <t>Included in Land core</t>
        </is>
      </c>
      <c r="AQ61" s="92" t="n">
        <v>1</v>
      </c>
      <c r="AR61" s="92" t="n">
        <v>1</v>
      </c>
      <c r="AS61" s="92" t="n">
        <v>1</v>
      </c>
      <c r="AT61" s="92" t="n">
        <v>1</v>
      </c>
      <c r="AU61" s="92" t="n">
        <v>1</v>
      </c>
      <c r="AV61" s="92" t="n">
        <v>0</v>
      </c>
      <c r="AW61" s="92" t="n">
        <v>0</v>
      </c>
    </row>
    <row r="62">
      <c r="A62" s="20" t="inlineStr">
        <is>
          <t>SM-0059</t>
        </is>
      </c>
      <c r="B62" s="20" t="inlineStr">
        <is>
          <t>JP-MEDS</t>
        </is>
      </c>
      <c r="C62" s="98" t="inlineStr">
        <is>
          <t>2024-02-22</t>
        </is>
      </c>
      <c r="D62" s="92" t="n">
        <v>2024</v>
      </c>
      <c r="E62" s="20" t="inlineStr">
        <is>
          <t>Japan</t>
        </is>
      </c>
      <c r="F62" s="20" t="inlineStr">
        <is>
          <t>Japan MOD / ATLA / JGSDF</t>
        </is>
      </c>
      <c r="G62" s="20" t="inlineStr">
        <is>
          <t>Japan MOD / JGSDF</t>
        </is>
      </c>
      <c r="H62" s="20" t="inlineStr">
        <is>
          <t>Army / Land</t>
        </is>
      </c>
      <c r="I62" s="20" t="inlineStr">
        <is>
          <t>Nippon Aircraft Supply (NAS)</t>
        </is>
      </c>
      <c r="J62" s="20" t="inlineStr">
        <is>
          <t>NAS / Fibrotex programme team</t>
        </is>
      </c>
      <c r="K62" s="20" t="inlineStr">
        <is>
          <t>Japan</t>
        </is>
      </c>
      <c r="L62" s="20" t="inlineStr">
        <is>
          <t>Multiple Electromagnetic Disguise Net Set (MEDS)</t>
        </is>
      </c>
      <c r="M62" s="20" t="inlineStr">
        <is>
          <t>JGSDF land equipment</t>
        </is>
      </c>
      <c r="N62" s="20" t="inlineStr">
        <is>
          <t>MEDS</t>
        </is>
      </c>
      <c r="O62" s="20" t="inlineStr">
        <is>
          <t>Multispectral</t>
        </is>
      </c>
      <c r="P62" s="20" t="inlineStr">
        <is>
          <t>Production order</t>
        </is>
      </c>
      <c r="Q62" s="20" t="inlineStr">
        <is>
          <t>Award</t>
        </is>
      </c>
      <c r="R62" s="20" t="inlineStr">
        <is>
          <t>Yes</t>
        </is>
      </c>
      <c r="S62" s="99" t="inlineStr">
        <is>
          <t>179</t>
        </is>
      </c>
      <c r="T62" s="20" t="inlineStr">
        <is>
          <t>sets</t>
        </is>
      </c>
      <c r="U62" s="20" t="inlineStr">
        <is>
          <t>Contracted sets</t>
        </is>
      </c>
      <c r="V62" s="100" t="inlineStr">
        <is>
          <t>579700000</t>
        </is>
      </c>
      <c r="W62" s="20" t="inlineStr">
        <is>
          <t>JPY</t>
        </is>
      </c>
      <c r="X62" s="20" t="inlineStr">
        <is>
          <t>Signed contract value</t>
        </is>
      </c>
      <c r="Y62" s="20" t="inlineStr">
        <is>
          <t>Obligated / signed if disclosed</t>
        </is>
      </c>
      <c r="Z62" s="20" t="inlineStr">
        <is>
          <t>No</t>
        </is>
      </c>
      <c r="AA62" s="20" t="inlineStr">
        <is>
          <t>Production Procurement</t>
        </is>
      </c>
      <c r="AB62" s="20" t="inlineStr">
        <is>
          <t>Land</t>
        </is>
      </c>
      <c r="AC62" s="20" t="inlineStr">
        <is>
          <t>Yes</t>
        </is>
      </c>
      <c r="AD62" s="20" t="n"/>
      <c r="AE62" s="20" t="inlineStr">
        <is>
          <t>https://www.mod.go.jp/atla/souhon/supply/jisseki/rakusatu/kohyo_r05/05_kyoso_kijunijo-02.xlsx</t>
        </is>
      </c>
      <c r="AF62" s="20" t="inlineStr">
        <is>
          <t>Official government / procurement record</t>
        </is>
      </c>
      <c r="AG62" s="20" t="inlineStr">
        <is>
          <t>Primary / official</t>
        </is>
      </c>
      <c r="AH62" s="20" t="inlineStr">
        <is>
          <t>High</t>
        </is>
      </c>
      <c r="AI62" s="20" t="inlineStr">
        <is>
          <t>Official ATLA award record. Fibrotex technology/manufacturing linkage is corroborated separately; NAS is the contracting supplier.</t>
        </is>
      </c>
      <c r="AJ62" s="20" t="inlineStr">
        <is>
          <t>No</t>
        </is>
      </c>
      <c r="AK62" s="20" t="inlineStr">
        <is>
          <t>No</t>
        </is>
      </c>
      <c r="AL62" s="20" t="inlineStr">
        <is>
          <t>No</t>
        </is>
      </c>
      <c r="AM62" s="20" t="inlineStr">
        <is>
          <t>Yes</t>
        </is>
      </c>
      <c r="AN62" s="20" t="inlineStr">
        <is>
          <t>No</t>
        </is>
      </c>
      <c r="AO62" s="20" t="inlineStr">
        <is>
          <t>Yes</t>
        </is>
      </c>
      <c r="AP62" s="20" t="inlineStr">
        <is>
          <t>Included in Land core</t>
        </is>
      </c>
      <c r="AQ62" s="92" t="n">
        <v>1</v>
      </c>
      <c r="AR62" s="92" t="n">
        <v>1</v>
      </c>
      <c r="AS62" s="92" t="n">
        <v>1</v>
      </c>
      <c r="AT62" s="92" t="n">
        <v>1</v>
      </c>
      <c r="AU62" s="92" t="n">
        <v>1</v>
      </c>
      <c r="AV62" s="92" t="n">
        <v>1</v>
      </c>
      <c r="AW62" s="92" t="n">
        <v>0</v>
      </c>
    </row>
    <row r="63">
      <c r="A63" s="20" t="inlineStr">
        <is>
          <t>SM-0060</t>
        </is>
      </c>
      <c r="B63" s="20" t="inlineStr">
        <is>
          <t>NO-SAAB-MCS-4600002386</t>
        </is>
      </c>
      <c r="C63" s="98" t="inlineStr">
        <is>
          <t>2024-04-04</t>
        </is>
      </c>
      <c r="D63" s="92" t="n">
        <v>2024</v>
      </c>
      <c r="E63" s="20" t="inlineStr">
        <is>
          <t>Norway</t>
        </is>
      </c>
      <c r="F63" s="20" t="inlineStr">
        <is>
          <t>Norwegian Defence Materiel Agency (FMA)</t>
        </is>
      </c>
      <c r="G63" s="20" t="inlineStr">
        <is>
          <t>Norwegian FMA</t>
        </is>
      </c>
      <c r="H63" s="20" t="inlineStr">
        <is>
          <t>Army / Land</t>
        </is>
      </c>
      <c r="I63" s="20" t="inlineStr">
        <is>
          <t>Saab Barracuda AB</t>
        </is>
      </c>
      <c r="J63" s="20" t="inlineStr">
        <is>
          <t>Saab Barracuda</t>
        </is>
      </c>
      <c r="K63" s="20" t="inlineStr">
        <is>
          <t>Sweden</t>
        </is>
      </c>
      <c r="L63" s="20" t="inlineStr">
        <is>
          <t>Framework 4600002386 / contract 4502439616; P5475-76</t>
        </is>
      </c>
      <c r="M63" s="20" t="inlineStr">
        <is>
          <t>Mobile land platform; project P5475-76</t>
        </is>
      </c>
      <c r="N63" s="20" t="inlineStr">
        <is>
          <t>Mobile camouflage systems</t>
        </is>
      </c>
      <c r="O63" s="20" t="inlineStr">
        <is>
          <t>Multispectral</t>
        </is>
      </c>
      <c r="P63" s="20" t="inlineStr">
        <is>
          <t>Call-off order</t>
        </is>
      </c>
      <c r="Q63" s="20" t="inlineStr">
        <is>
          <t>Order</t>
        </is>
      </c>
      <c r="R63" s="20" t="inlineStr">
        <is>
          <t>Yes</t>
        </is>
      </c>
      <c r="S63" s="99" t="n"/>
      <c r="T63" s="20" t="inlineStr">
        <is>
          <t>Unknown</t>
        </is>
      </c>
      <c r="U63" s="20" t="inlineStr">
        <is>
          <t>Unknown / not disclosed</t>
        </is>
      </c>
      <c r="V63" s="100" t="n"/>
      <c r="W63" s="20" t="n"/>
      <c r="X63" s="20" t="inlineStr">
        <is>
          <t>Undisclosed</t>
        </is>
      </c>
      <c r="Y63" s="20" t="inlineStr">
        <is>
          <t>Obligated / signed if disclosed</t>
        </is>
      </c>
      <c r="Z63" s="20" t="inlineStr">
        <is>
          <t>Yes</t>
        </is>
      </c>
      <c r="AA63" s="20" t="inlineStr">
        <is>
          <t>Production Procurement</t>
        </is>
      </c>
      <c r="AB63" s="20" t="inlineStr">
        <is>
          <t>Land</t>
        </is>
      </c>
      <c r="AC63" s="20" t="inlineStr">
        <is>
          <t>Yes</t>
        </is>
      </c>
      <c r="AD63" s="20" t="n"/>
      <c r="AE63" s="20" t="inlineStr">
        <is>
          <t>https://www.fma.no/aktuelt-og-media/offentlighet-innsyn/_/attachment/download/a115bf77-c236-4186-8dee-62549844610e%3Aa7b697868c038e2a70f73dc5dbbe72e179425d33/FMA_offentlig_journal-uke-16-2024.pdf</t>
        </is>
      </c>
      <c r="AF63" s="20" t="inlineStr">
        <is>
          <t>Official government / procurement record</t>
        </is>
      </c>
      <c r="AG63" s="20" t="inlineStr">
        <is>
          <t>Primary / official</t>
        </is>
      </c>
      <c r="AH63" s="20" t="inlineStr">
        <is>
          <t>High</t>
        </is>
      </c>
      <c r="AI63" s="20" t="inlineStr">
        <is>
          <t>Distinct contract identifier in the official public journal; quantity and value undisclosed.</t>
        </is>
      </c>
      <c r="AJ63" s="20" t="inlineStr">
        <is>
          <t>No</t>
        </is>
      </c>
      <c r="AK63" s="20" t="inlineStr">
        <is>
          <t>No</t>
        </is>
      </c>
      <c r="AL63" s="20" t="inlineStr">
        <is>
          <t>No</t>
        </is>
      </c>
      <c r="AM63" s="20" t="inlineStr">
        <is>
          <t>Yes</t>
        </is>
      </c>
      <c r="AN63" s="20" t="inlineStr">
        <is>
          <t>No</t>
        </is>
      </c>
      <c r="AO63" s="20" t="inlineStr">
        <is>
          <t>Yes</t>
        </is>
      </c>
      <c r="AP63" s="20" t="inlineStr">
        <is>
          <t>Included in Land core</t>
        </is>
      </c>
      <c r="AQ63" s="92" t="n">
        <v>1</v>
      </c>
      <c r="AR63" s="92" t="n">
        <v>1</v>
      </c>
      <c r="AS63" s="92" t="n">
        <v>0</v>
      </c>
      <c r="AT63" s="92" t="n">
        <v>1</v>
      </c>
      <c r="AU63" s="92" t="n">
        <v>1</v>
      </c>
      <c r="AV63" s="92" t="n">
        <v>0</v>
      </c>
      <c r="AW63" s="92" t="n">
        <v>1</v>
      </c>
    </row>
    <row r="64">
      <c r="A64" s="20" t="inlineStr">
        <is>
          <t>SM-0061</t>
        </is>
      </c>
      <c r="B64" s="20" t="inlineStr">
        <is>
          <t>NO-SAAB-MCS-4600002386</t>
        </is>
      </c>
      <c r="C64" s="98" t="inlineStr">
        <is>
          <t>2024-04-04</t>
        </is>
      </c>
      <c r="D64" s="92" t="n">
        <v>2024</v>
      </c>
      <c r="E64" s="20" t="inlineStr">
        <is>
          <t>Norway</t>
        </is>
      </c>
      <c r="F64" s="20" t="inlineStr">
        <is>
          <t>Norwegian Defence Materiel Agency (FMA)</t>
        </is>
      </c>
      <c r="G64" s="20" t="inlineStr">
        <is>
          <t>Norwegian FMA</t>
        </is>
      </c>
      <c r="H64" s="20" t="inlineStr">
        <is>
          <t>Army / Land</t>
        </is>
      </c>
      <c r="I64" s="20" t="inlineStr">
        <is>
          <t>Saab Barracuda AB</t>
        </is>
      </c>
      <c r="J64" s="20" t="inlineStr">
        <is>
          <t>Saab Barracuda</t>
        </is>
      </c>
      <c r="K64" s="20" t="inlineStr">
        <is>
          <t>Sweden</t>
        </is>
      </c>
      <c r="L64" s="20" t="inlineStr">
        <is>
          <t>Framework 4600002386 / contract 4502510397; P5475-76</t>
        </is>
      </c>
      <c r="M64" s="20" t="inlineStr">
        <is>
          <t>Mobile land platform; project P5475-76</t>
        </is>
      </c>
      <c r="N64" s="20" t="inlineStr">
        <is>
          <t>Mobile camouflage systems</t>
        </is>
      </c>
      <c r="O64" s="20" t="inlineStr">
        <is>
          <t>Multispectral</t>
        </is>
      </c>
      <c r="P64" s="20" t="inlineStr">
        <is>
          <t>Call-off order</t>
        </is>
      </c>
      <c r="Q64" s="20" t="inlineStr">
        <is>
          <t>Order</t>
        </is>
      </c>
      <c r="R64" s="20" t="inlineStr">
        <is>
          <t>Yes</t>
        </is>
      </c>
      <c r="S64" s="99" t="n"/>
      <c r="T64" s="20" t="inlineStr">
        <is>
          <t>Unknown</t>
        </is>
      </c>
      <c r="U64" s="20" t="inlineStr">
        <is>
          <t>Unknown / not disclosed</t>
        </is>
      </c>
      <c r="V64" s="100" t="n"/>
      <c r="W64" s="20" t="n"/>
      <c r="X64" s="20" t="inlineStr">
        <is>
          <t>Undisclosed</t>
        </is>
      </c>
      <c r="Y64" s="20" t="inlineStr">
        <is>
          <t>Obligated / signed if disclosed</t>
        </is>
      </c>
      <c r="Z64" s="20" t="inlineStr">
        <is>
          <t>Yes</t>
        </is>
      </c>
      <c r="AA64" s="20" t="inlineStr">
        <is>
          <t>Production Procurement</t>
        </is>
      </c>
      <c r="AB64" s="20" t="inlineStr">
        <is>
          <t>Land</t>
        </is>
      </c>
      <c r="AC64" s="20" t="inlineStr">
        <is>
          <t>Yes</t>
        </is>
      </c>
      <c r="AD64" s="20" t="n"/>
      <c r="AE64" s="20" t="inlineStr">
        <is>
          <t>https://www.fma.no/aktuelt-og-media/offentlighet-innsyn/_/attachment/download/a115bf77-c236-4186-8dee-62549844610e%3Aa7b697868c038e2a70f73dc5dbbe72e179425d33/FMA_offentlig_journal-uke-16-2024.pdf</t>
        </is>
      </c>
      <c r="AF64" s="20" t="inlineStr">
        <is>
          <t>Official government / procurement record</t>
        </is>
      </c>
      <c r="AG64" s="20" t="inlineStr">
        <is>
          <t>Primary / official</t>
        </is>
      </c>
      <c r="AH64" s="20" t="inlineStr">
        <is>
          <t>High</t>
        </is>
      </c>
      <c r="AI64" s="20" t="inlineStr">
        <is>
          <t>Separate contract identifier under the same project and framework; counted as a distinct order.</t>
        </is>
      </c>
      <c r="AJ64" s="20" t="inlineStr">
        <is>
          <t>No</t>
        </is>
      </c>
      <c r="AK64" s="20" t="inlineStr">
        <is>
          <t>No</t>
        </is>
      </c>
      <c r="AL64" s="20" t="inlineStr">
        <is>
          <t>No</t>
        </is>
      </c>
      <c r="AM64" s="20" t="inlineStr">
        <is>
          <t>Yes</t>
        </is>
      </c>
      <c r="AN64" s="20" t="inlineStr">
        <is>
          <t>No</t>
        </is>
      </c>
      <c r="AO64" s="20" t="inlineStr">
        <is>
          <t>Yes</t>
        </is>
      </c>
      <c r="AP64" s="20" t="inlineStr">
        <is>
          <t>Included in Land core</t>
        </is>
      </c>
      <c r="AQ64" s="92" t="n">
        <v>0</v>
      </c>
      <c r="AR64" s="92" t="n">
        <v>0</v>
      </c>
      <c r="AS64" s="92" t="n">
        <v>0</v>
      </c>
      <c r="AT64" s="92" t="n">
        <v>0</v>
      </c>
      <c r="AU64" s="92" t="n">
        <v>0</v>
      </c>
      <c r="AV64" s="92" t="n">
        <v>0</v>
      </c>
      <c r="AW64" s="92" t="n">
        <v>1</v>
      </c>
    </row>
    <row r="65">
      <c r="A65" s="20" t="inlineStr">
        <is>
          <t>SM-0062</t>
        </is>
      </c>
      <c r="B65" s="20" t="inlineStr">
        <is>
          <t>PL-BERBERYS-ZMT-2024</t>
        </is>
      </c>
      <c r="C65" s="98" t="inlineStr">
        <is>
          <t>2024-05-06</t>
        </is>
      </c>
      <c r="D65" s="92" t="n">
        <v>2024</v>
      </c>
      <c r="E65" s="20" t="inlineStr">
        <is>
          <t>Poland</t>
        </is>
      </c>
      <c r="F65" s="20" t="inlineStr">
        <is>
          <t>ZM Tarnów / Polish defence supply chain</t>
        </is>
      </c>
      <c r="G65" s="20" t="inlineStr">
        <is>
          <t>ZM Tarnów / Polish defence supply chain</t>
        </is>
      </c>
      <c r="H65" s="20" t="inlineStr">
        <is>
          <t>Defence / not disclosed</t>
        </is>
      </c>
      <c r="I65" s="20" t="inlineStr">
        <is>
          <t>Miranda Textiles</t>
        </is>
      </c>
      <c r="J65" s="20" t="inlineStr">
        <is>
          <t>Miranda Textiles</t>
        </is>
      </c>
      <c r="K65" s="20" t="inlineStr">
        <is>
          <t>Poland</t>
        </is>
      </c>
      <c r="L65" s="20" t="inlineStr">
        <is>
          <t>Berberys 2024–2028</t>
        </is>
      </c>
      <c r="M65" s="20" t="inlineStr">
        <is>
          <t>Military vehicles/equipment</t>
        </is>
      </c>
      <c r="N65" s="20" t="inlineStr">
        <is>
          <t>Berberys multispectral covers</t>
        </is>
      </c>
      <c r="O65" s="20" t="inlineStr">
        <is>
          <t>Optical/Thermal/Radar</t>
        </is>
      </c>
      <c r="P65" s="20" t="inlineStr">
        <is>
          <t>Production contract</t>
        </is>
      </c>
      <c r="Q65" s="20" t="inlineStr">
        <is>
          <t>Award</t>
        </is>
      </c>
      <c r="R65" s="20" t="inlineStr">
        <is>
          <t>Yes</t>
        </is>
      </c>
      <c r="S65" s="99" t="n"/>
      <c r="T65" s="20" t="inlineStr">
        <is>
          <t>Unknown</t>
        </is>
      </c>
      <c r="U65" s="20" t="inlineStr">
        <is>
          <t>Unknown</t>
        </is>
      </c>
      <c r="V65" s="100" t="inlineStr">
        <is>
          <t>37810469.59</t>
        </is>
      </c>
      <c r="W65" s="20" t="inlineStr">
        <is>
          <t>PLN</t>
        </is>
      </c>
      <c r="X65" s="20" t="inlineStr">
        <is>
          <t>Signed net contract value</t>
        </is>
      </c>
      <c r="Y65" s="20" t="inlineStr">
        <is>
          <t>Obligated / signed if disclosed</t>
        </is>
      </c>
      <c r="Z65" s="20" t="inlineStr">
        <is>
          <t>No</t>
        </is>
      </c>
      <c r="AA65" s="20" t="inlineStr">
        <is>
          <t>Production Procurement</t>
        </is>
      </c>
      <c r="AB65" s="20" t="inlineStr">
        <is>
          <t>Land</t>
        </is>
      </c>
      <c r="AC65" s="20" t="inlineStr">
        <is>
          <t>Yes</t>
        </is>
      </c>
      <c r="AD65" s="20" t="n"/>
      <c r="AE65" s="20" t="inlineStr">
        <is>
          <t>https://lubawagroup.com/raporty-biezace/6-2024-podpisanie-znaczacej-umowy-w-spolce-zaleznej/</t>
        </is>
      </c>
      <c r="AF65" s="20" t="inlineStr">
        <is>
          <t>Issuer regulatory disclosure</t>
        </is>
      </c>
      <c r="AG65" s="20" t="inlineStr">
        <is>
          <t>Primary / official</t>
        </is>
      </c>
      <c r="AH65" s="20" t="inlineStr">
        <is>
          <t>Medium</t>
        </is>
      </c>
      <c r="AI65" s="20" t="inlineStr">
        <is>
          <t>Formal signing confirmed 6 May 2024; quantities and delivery schedule are confidential.</t>
        </is>
      </c>
      <c r="AJ65" s="20" t="inlineStr">
        <is>
          <t>No</t>
        </is>
      </c>
      <c r="AK65" s="20" t="inlineStr">
        <is>
          <t>Yes</t>
        </is>
      </c>
      <c r="AL65" s="20" t="inlineStr">
        <is>
          <t>No</t>
        </is>
      </c>
      <c r="AM65" s="20" t="inlineStr">
        <is>
          <t>No</t>
        </is>
      </c>
      <c r="AN65" s="20" t="inlineStr">
        <is>
          <t>No</t>
        </is>
      </c>
      <c r="AO65" s="20" t="inlineStr">
        <is>
          <t>No</t>
        </is>
      </c>
      <c r="AP65" s="20" t="inlineStr">
        <is>
          <t>Included in Land core</t>
        </is>
      </c>
      <c r="AQ65" s="92" t="n">
        <v>1</v>
      </c>
      <c r="AR65" s="92" t="n">
        <v>1</v>
      </c>
      <c r="AS65" s="92" t="n">
        <v>1</v>
      </c>
      <c r="AT65" s="92" t="n">
        <v>1</v>
      </c>
      <c r="AU65" s="92" t="n">
        <v>1</v>
      </c>
      <c r="AV65" s="92" t="n">
        <v>1</v>
      </c>
      <c r="AW65" s="92" t="n">
        <v>0</v>
      </c>
    </row>
    <row r="66">
      <c r="A66" s="20" t="inlineStr">
        <is>
          <t>SM-0063</t>
        </is>
      </c>
      <c r="B66" s="20" t="inlineStr">
        <is>
          <t>AME-CNELS-XHANGAR-2023-25</t>
        </is>
      </c>
      <c r="C66" s="98" t="inlineStr">
        <is>
          <t>2024-05-21</t>
        </is>
      </c>
      <c r="D66" s="92" t="n">
        <v>2024</v>
      </c>
      <c r="E66" s="20" t="inlineStr">
        <is>
          <t>United States</t>
        </is>
      </c>
      <c r="F66" s="20" t="inlineStr">
        <is>
          <t>U.S. Naval Research Laboratory / ONR</t>
        </is>
      </c>
      <c r="G66" s="20" t="inlineStr">
        <is>
          <t>U.S. NRL / ONR</t>
        </is>
      </c>
      <c r="H66" s="20" t="inlineStr">
        <is>
          <t>Navy</t>
        </is>
      </c>
      <c r="I66" s="20" t="inlineStr">
        <is>
          <t>Ametrine Inc. / Ametrine Technologies</t>
        </is>
      </c>
      <c r="J66" s="20" t="inlineStr">
        <is>
          <t>Ametrine Technologies</t>
        </is>
      </c>
      <c r="K66" s="20" t="inlineStr">
        <is>
          <t>USA</t>
        </is>
      </c>
      <c r="L66" s="20" t="inlineStr">
        <is>
          <t>X-Hangar / CNELS</t>
        </is>
      </c>
      <c r="M66" s="20" t="inlineStr">
        <is>
          <t>Nets / Covers</t>
        </is>
      </c>
      <c r="N66" s="20" t="inlineStr">
        <is>
          <t>X-Hangar and camouflage cover</t>
        </is>
      </c>
      <c r="O66" s="20" t="inlineStr">
        <is>
          <t>Multispectral</t>
        </is>
      </c>
      <c r="P66" s="20" t="inlineStr">
        <is>
          <t>Order</t>
        </is>
      </c>
      <c r="Q66" s="20" t="n"/>
      <c r="R66" s="20" t="inlineStr">
        <is>
          <t>Yes</t>
        </is>
      </c>
      <c r="S66" s="99" t="n"/>
      <c r="T66" s="20" t="inlineStr">
        <is>
          <t>Unknown</t>
        </is>
      </c>
      <c r="U66" s="20" t="n"/>
      <c r="V66" s="100" t="inlineStr">
        <is>
          <t>249908.0</t>
        </is>
      </c>
      <c r="W66" s="20" t="inlineStr">
        <is>
          <t>USD</t>
        </is>
      </c>
      <c r="X66" s="20" t="n"/>
      <c r="Y66" s="20" t="inlineStr">
        <is>
          <t>Obligated / signed if disclosed</t>
        </is>
      </c>
      <c r="Z66" s="20" t="inlineStr">
        <is>
          <t>No</t>
        </is>
      </c>
      <c r="AA66" s="20" t="inlineStr">
        <is>
          <t>Production Procurement</t>
        </is>
      </c>
      <c r="AB66" s="20" t="inlineStr">
        <is>
          <t>Land</t>
        </is>
      </c>
      <c r="AC66" s="20" t="inlineStr">
        <is>
          <t>Yes</t>
        </is>
      </c>
      <c r="AD66" s="20" t="str"/>
      <c r="AE66" s="20" t="inlineStr">
        <is>
          <t>https://govtribe.com/award/federal-contract-award/purchase-order-n0017324p0143</t>
        </is>
      </c>
      <c r="AF66" s="20" t="inlineStr">
        <is>
          <t>Other credible third-party source (FPDS-derived)</t>
        </is>
      </c>
      <c r="AG66" s="20" t="inlineStr">
        <is>
          <t>Secondary / aggregator</t>
        </is>
      </c>
      <c r="AH66" s="20" t="inlineStr">
        <is>
          <t>High</t>
        </is>
      </c>
      <c r="AI66" s="20" t="inlineStr">
        <is>
          <t>Separate PO from test-support PO N0017324P0144, but both belong to the same X-Hangar procurement chain.</t>
        </is>
      </c>
      <c r="AJ66" s="20" t="inlineStr">
        <is>
          <t>Yes</t>
        </is>
      </c>
      <c r="AK66" s="20" t="inlineStr">
        <is>
          <t>Yes</t>
        </is>
      </c>
      <c r="AL66" s="20" t="inlineStr">
        <is>
          <t>No</t>
        </is>
      </c>
      <c r="AM66" s="20" t="inlineStr">
        <is>
          <t>No</t>
        </is>
      </c>
      <c r="AN66" s="20" t="inlineStr">
        <is>
          <t>No</t>
        </is>
      </c>
      <c r="AO66" s="20" t="inlineStr">
        <is>
          <t>Yes</t>
        </is>
      </c>
      <c r="AP66" s="20" t="inlineStr">
        <is>
          <t>Included in Land core</t>
        </is>
      </c>
      <c r="AQ66" s="92" t="n">
        <v>1</v>
      </c>
      <c r="AR66" s="92" t="n">
        <v>1</v>
      </c>
      <c r="AS66" s="92" t="n">
        <v>1</v>
      </c>
      <c r="AT66" s="92" t="n">
        <v>1</v>
      </c>
      <c r="AU66" s="92" t="n">
        <v>1</v>
      </c>
      <c r="AV66" s="92" t="n">
        <v>0</v>
      </c>
      <c r="AW66" s="92" t="n">
        <v>0</v>
      </c>
    </row>
    <row r="67">
      <c r="A67" s="20" t="inlineStr">
        <is>
          <t>SM-0064</t>
        </is>
      </c>
      <c r="B67" s="20" t="inlineStr">
        <is>
          <t>AME-CNELS-XHANGAR-2023-25</t>
        </is>
      </c>
      <c r="C67" s="98" t="inlineStr">
        <is>
          <t>2024-05-21</t>
        </is>
      </c>
      <c r="D67" s="92" t="n">
        <v>2024</v>
      </c>
      <c r="E67" s="20" t="inlineStr">
        <is>
          <t>United States</t>
        </is>
      </c>
      <c r="F67" s="20" t="inlineStr">
        <is>
          <t>U.S. Naval Research Laboratory / ONR</t>
        </is>
      </c>
      <c r="G67" s="20" t="inlineStr">
        <is>
          <t>U.S. NRL / ONR</t>
        </is>
      </c>
      <c r="H67" s="20" t="inlineStr">
        <is>
          <t>Navy</t>
        </is>
      </c>
      <c r="I67" s="20" t="inlineStr">
        <is>
          <t>Ametrine Inc. / Ametrine Technologies</t>
        </is>
      </c>
      <c r="J67" s="20" t="inlineStr">
        <is>
          <t>Ametrine Technologies</t>
        </is>
      </c>
      <c r="K67" s="20" t="inlineStr">
        <is>
          <t>USA</t>
        </is>
      </c>
      <c r="L67" s="20" t="inlineStr">
        <is>
          <t>X-Hangar test support</t>
        </is>
      </c>
      <c r="M67" s="20" t="inlineStr">
        <is>
          <t>Other</t>
        </is>
      </c>
      <c r="N67" s="20" t="inlineStr">
        <is>
          <t>X-Hanger test support</t>
        </is>
      </c>
      <c r="O67" s="20" t="inlineStr">
        <is>
          <t>Multispectral</t>
        </is>
      </c>
      <c r="P67" s="20" t="inlineStr">
        <is>
          <t>Order</t>
        </is>
      </c>
      <c r="Q67" s="20" t="n"/>
      <c r="R67" s="20" t="inlineStr">
        <is>
          <t>No</t>
        </is>
      </c>
      <c r="S67" s="99" t="n"/>
      <c r="T67" s="20" t="inlineStr">
        <is>
          <t>Unknown</t>
        </is>
      </c>
      <c r="U67" s="20" t="n"/>
      <c r="V67" s="100" t="inlineStr">
        <is>
          <t>84713.0</t>
        </is>
      </c>
      <c r="W67" s="20" t="inlineStr">
        <is>
          <t>USD</t>
        </is>
      </c>
      <c r="X67" s="20" t="n"/>
      <c r="Y67" s="20" t="inlineStr">
        <is>
          <t>Obligated / signed if disclosed</t>
        </is>
      </c>
      <c r="Z67" s="20" t="inlineStr">
        <is>
          <t>No</t>
        </is>
      </c>
      <c r="AA67" s="20" t="inlineStr">
        <is>
          <t>Development / Validation</t>
        </is>
      </c>
      <c r="AB67" s="20" t="inlineStr">
        <is>
          <t>Land</t>
        </is>
      </c>
      <c r="AC67" s="20" t="inlineStr">
        <is>
          <t>Yes</t>
        </is>
      </c>
      <c r="AD67" s="20" t="str"/>
      <c r="AE67" s="20" t="inlineStr">
        <is>
          <t>https://govtribe.com/award/federal-contract-award/purchase-order-n0017324p0144</t>
        </is>
      </c>
      <c r="AF67" s="20" t="inlineStr">
        <is>
          <t>Other credible third-party source (FPDS-derived)</t>
        </is>
      </c>
      <c r="AG67" s="20" t="inlineStr">
        <is>
          <t>Secondary / aggregator</t>
        </is>
      </c>
      <c r="AH67" s="20" t="inlineStr">
        <is>
          <t>Medium</t>
        </is>
      </c>
      <c r="AI67" s="20" t="inlineStr">
        <is>
          <t>Separate PO but linked to N0017324P0143; aggregate cautiously by procurement chain.</t>
        </is>
      </c>
      <c r="AJ67" s="20" t="inlineStr">
        <is>
          <t>Yes</t>
        </is>
      </c>
      <c r="AK67" s="20" t="inlineStr">
        <is>
          <t>No</t>
        </is>
      </c>
      <c r="AL67" s="20" t="inlineStr">
        <is>
          <t>No</t>
        </is>
      </c>
      <c r="AM67" s="20" t="inlineStr">
        <is>
          <t>No</t>
        </is>
      </c>
      <c r="AN67" s="20" t="inlineStr">
        <is>
          <t>No</t>
        </is>
      </c>
      <c r="AO67" s="20" t="inlineStr">
        <is>
          <t>Yes</t>
        </is>
      </c>
      <c r="AP67" s="20" t="inlineStr">
        <is>
          <t>Included in Land core</t>
        </is>
      </c>
      <c r="AQ67" s="92" t="n">
        <v>0</v>
      </c>
      <c r="AR67" s="92" t="n">
        <v>0</v>
      </c>
      <c r="AS67" s="92" t="n">
        <v>0</v>
      </c>
      <c r="AT67" s="92" t="n">
        <v>0</v>
      </c>
      <c r="AU67" s="92" t="n">
        <v>0</v>
      </c>
      <c r="AV67" s="92" t="n">
        <v>0</v>
      </c>
      <c r="AW67" s="92" t="n">
        <v>0</v>
      </c>
    </row>
    <row r="68">
      <c r="A68" s="20" t="inlineStr">
        <is>
          <t>SM-0065</t>
        </is>
      </c>
      <c r="B68" s="20" t="inlineStr">
        <is>
          <t>ULCANS-IDV-W911QY18D0210</t>
        </is>
      </c>
      <c r="C68" s="98" t="inlineStr">
        <is>
          <t>2024-06-10</t>
        </is>
      </c>
      <c r="D68" s="92" t="n">
        <v>2024</v>
      </c>
      <c r="E68" s="20" t="inlineStr">
        <is>
          <t>United States</t>
        </is>
      </c>
      <c r="F68" s="20" t="inlineStr">
        <is>
          <t>U.S. Army PEO CSCSS</t>
        </is>
      </c>
      <c r="G68" s="20" t="inlineStr">
        <is>
          <t>U.S. Army</t>
        </is>
      </c>
      <c r="H68" s="20" t="inlineStr">
        <is>
          <t>Army / Land</t>
        </is>
      </c>
      <c r="I68" s="20" t="inlineStr">
        <is>
          <t>Fibrotex USA Inc. / Fibrotex Technologies</t>
        </is>
      </c>
      <c r="J68" s="20" t="inlineStr">
        <is>
          <t>Fibrotex</t>
        </is>
      </c>
      <c r="K68" s="20" t="inlineStr">
        <is>
          <t>Israel / USA</t>
        </is>
      </c>
      <c r="L68" s="20" t="inlineStr">
        <is>
          <t>ULCANS</t>
        </is>
      </c>
      <c r="M68" s="20" t="inlineStr">
        <is>
          <t>Nets / Covers</t>
        </is>
      </c>
      <c r="N68" s="20" t="inlineStr">
        <is>
          <t>Woodland / Alpine Type I production units</t>
        </is>
      </c>
      <c r="O68" s="20" t="inlineStr">
        <is>
          <t>Multispectral</t>
        </is>
      </c>
      <c r="P68" s="20" t="inlineStr">
        <is>
          <t>Order</t>
        </is>
      </c>
      <c r="Q68" s="20" t="n"/>
      <c r="R68" s="20" t="inlineStr">
        <is>
          <t>Yes</t>
        </is>
      </c>
      <c r="S68" s="99" t="n"/>
      <c r="T68" s="20" t="inlineStr">
        <is>
          <t>Unknown</t>
        </is>
      </c>
      <c r="U68" s="20" t="n"/>
      <c r="V68" s="100" t="inlineStr">
        <is>
          <t>39300000.0</t>
        </is>
      </c>
      <c r="W68" s="20" t="inlineStr">
        <is>
          <t>USD</t>
        </is>
      </c>
      <c r="X68" s="20" t="n"/>
      <c r="Y68" s="20" t="inlineStr">
        <is>
          <t>Obligated / signed if disclosed</t>
        </is>
      </c>
      <c r="Z68" s="20" t="inlineStr">
        <is>
          <t>Yes</t>
        </is>
      </c>
      <c r="AA68" s="20" t="inlineStr">
        <is>
          <t>Production Procurement</t>
        </is>
      </c>
      <c r="AB68" s="20" t="inlineStr">
        <is>
          <t>Land</t>
        </is>
      </c>
      <c r="AC68" s="20" t="inlineStr">
        <is>
          <t>Yes</t>
        </is>
      </c>
      <c r="AD68" s="20" t="n"/>
      <c r="AE68" s="20" t="inlineStr">
        <is>
          <t>https://www.highergov.com/awardee/fibrotex-usa-inc-12685034/</t>
        </is>
      </c>
      <c r="AF68" s="20" t="inlineStr">
        <is>
          <t>Other credible third-party source (FPDS/SAM-derived)</t>
        </is>
      </c>
      <c r="AG68" s="20" t="inlineStr">
        <is>
          <t>Secondary / aggregator</t>
        </is>
      </c>
      <c r="AH68" s="20" t="inlineStr">
        <is>
          <t>High</t>
        </is>
      </c>
      <c r="AI68" s="20" t="inlineStr">
        <is>
          <t>Distinct delivery/order event. Parent ULCANS IDIQ ceiling is not counted as sales; amendments are not separate events.</t>
        </is>
      </c>
      <c r="AJ68" s="20" t="inlineStr">
        <is>
          <t>Yes</t>
        </is>
      </c>
      <c r="AK68" s="20" t="inlineStr">
        <is>
          <t>Yes</t>
        </is>
      </c>
      <c r="AL68" s="20" t="inlineStr">
        <is>
          <t>No</t>
        </is>
      </c>
      <c r="AM68" s="20" t="inlineStr">
        <is>
          <t>No</t>
        </is>
      </c>
      <c r="AN68" s="20" t="inlineStr">
        <is>
          <t>No</t>
        </is>
      </c>
      <c r="AO68" s="20" t="inlineStr">
        <is>
          <t>Yes</t>
        </is>
      </c>
      <c r="AP68" s="20" t="inlineStr">
        <is>
          <t>Included in Land core</t>
        </is>
      </c>
      <c r="AQ68" s="92" t="n">
        <v>1</v>
      </c>
      <c r="AR68" s="92" t="n">
        <v>1</v>
      </c>
      <c r="AS68" s="92" t="n">
        <v>1</v>
      </c>
      <c r="AT68" s="92" t="n">
        <v>1</v>
      </c>
      <c r="AU68" s="92" t="n">
        <v>0</v>
      </c>
      <c r="AV68" s="92" t="n">
        <v>0</v>
      </c>
      <c r="AW68" s="92" t="n">
        <v>1</v>
      </c>
    </row>
    <row r="69">
      <c r="A69" s="20" t="inlineStr">
        <is>
          <t>SM-0066</t>
        </is>
      </c>
      <c r="B69" s="20" t="inlineStr">
        <is>
          <t>ULCANS-IDV-W911QY18D0210</t>
        </is>
      </c>
      <c r="C69" s="98" t="inlineStr">
        <is>
          <t>2024-06-20</t>
        </is>
      </c>
      <c r="D69" s="92" t="n">
        <v>2024</v>
      </c>
      <c r="E69" s="20" t="inlineStr">
        <is>
          <t>United States</t>
        </is>
      </c>
      <c r="F69" s="20" t="inlineStr">
        <is>
          <t>U.S. Army PEO CSCSS</t>
        </is>
      </c>
      <c r="G69" s="20" t="inlineStr">
        <is>
          <t>U.S. Army</t>
        </is>
      </c>
      <c r="H69" s="20" t="inlineStr">
        <is>
          <t>Army / Land</t>
        </is>
      </c>
      <c r="I69" s="20" t="inlineStr">
        <is>
          <t>Fibrotex USA Inc. / Fibrotex Technologies</t>
        </is>
      </c>
      <c r="J69" s="20" t="inlineStr">
        <is>
          <t>Fibrotex</t>
        </is>
      </c>
      <c r="K69" s="20" t="inlineStr">
        <is>
          <t>Israel / USA</t>
        </is>
      </c>
      <c r="L69" s="20" t="inlineStr">
        <is>
          <t>ULCANS</t>
        </is>
      </c>
      <c r="M69" s="20" t="inlineStr">
        <is>
          <t>Nets / Covers</t>
        </is>
      </c>
      <c r="N69" s="20" t="inlineStr">
        <is>
          <t>Production units</t>
        </is>
      </c>
      <c r="O69" s="20" t="inlineStr">
        <is>
          <t>Multispectral</t>
        </is>
      </c>
      <c r="P69" s="20" t="inlineStr">
        <is>
          <t>Order</t>
        </is>
      </c>
      <c r="Q69" s="20" t="n"/>
      <c r="R69" s="20" t="inlineStr">
        <is>
          <t>Yes</t>
        </is>
      </c>
      <c r="S69" s="99" t="n"/>
      <c r="T69" s="20" t="inlineStr">
        <is>
          <t>Unknown</t>
        </is>
      </c>
      <c r="U69" s="20" t="n"/>
      <c r="V69" s="100" t="inlineStr">
        <is>
          <t>38300000.0</t>
        </is>
      </c>
      <c r="W69" s="20" t="inlineStr">
        <is>
          <t>USD</t>
        </is>
      </c>
      <c r="X69" s="20" t="n"/>
      <c r="Y69" s="20" t="inlineStr">
        <is>
          <t>Obligated / signed if disclosed</t>
        </is>
      </c>
      <c r="Z69" s="20" t="inlineStr">
        <is>
          <t>Yes</t>
        </is>
      </c>
      <c r="AA69" s="20" t="inlineStr">
        <is>
          <t>Production Procurement</t>
        </is>
      </c>
      <c r="AB69" s="20" t="inlineStr">
        <is>
          <t>Land</t>
        </is>
      </c>
      <c r="AC69" s="20" t="inlineStr">
        <is>
          <t>Yes</t>
        </is>
      </c>
      <c r="AD69" s="20" t="n"/>
      <c r="AE69" s="20" t="inlineStr">
        <is>
          <t>https://www.highergov.com/awardee/fibrotex-usa-inc-12685034/</t>
        </is>
      </c>
      <c r="AF69" s="20" t="inlineStr">
        <is>
          <t>Other credible third-party source (FPDS/SAM-derived)</t>
        </is>
      </c>
      <c r="AG69" s="20" t="inlineStr">
        <is>
          <t>Secondary / aggregator</t>
        </is>
      </c>
      <c r="AH69" s="20" t="inlineStr">
        <is>
          <t>High</t>
        </is>
      </c>
      <c r="AI69" s="20" t="inlineStr">
        <is>
          <t>Distinct delivery/order event. Parent ULCANS IDIQ ceiling is not counted as sales; amendments are not separate events.</t>
        </is>
      </c>
      <c r="AJ69" s="20" t="inlineStr">
        <is>
          <t>Yes</t>
        </is>
      </c>
      <c r="AK69" s="20" t="inlineStr">
        <is>
          <t>Yes</t>
        </is>
      </c>
      <c r="AL69" s="20" t="inlineStr">
        <is>
          <t>No</t>
        </is>
      </c>
      <c r="AM69" s="20" t="inlineStr">
        <is>
          <t>No</t>
        </is>
      </c>
      <c r="AN69" s="20" t="inlineStr">
        <is>
          <t>No</t>
        </is>
      </c>
      <c r="AO69" s="20" t="inlineStr">
        <is>
          <t>Yes</t>
        </is>
      </c>
      <c r="AP69" s="20" t="inlineStr">
        <is>
          <t>Included in Land core</t>
        </is>
      </c>
      <c r="AQ69" s="92" t="n">
        <v>0</v>
      </c>
      <c r="AR69" s="92" t="n">
        <v>0</v>
      </c>
      <c r="AS69" s="92" t="n">
        <v>0</v>
      </c>
      <c r="AT69" s="92" t="n">
        <v>0</v>
      </c>
      <c r="AU69" s="92" t="n">
        <v>0</v>
      </c>
      <c r="AV69" s="92" t="n">
        <v>0</v>
      </c>
      <c r="AW69" s="92" t="n">
        <v>1</v>
      </c>
    </row>
    <row r="70">
      <c r="A70" s="20" t="inlineStr">
        <is>
          <t>SM-0145</t>
        </is>
      </c>
      <c r="B70" s="20" t="inlineStr">
        <is>
          <t>PL-BERBERYS-WB-2024</t>
        </is>
      </c>
      <c r="C70" s="98" t="inlineStr">
        <is>
          <t>2024-06-24</t>
        </is>
      </c>
      <c r="D70" s="92" t="n">
        <v>2024</v>
      </c>
      <c r="E70" s="20" t="inlineStr">
        <is>
          <t>Poland</t>
        </is>
      </c>
      <c r="F70" s="20" t="inlineStr">
        <is>
          <t>WB Electronics S.A.</t>
        </is>
      </c>
      <c r="G70" s="20" t="inlineStr">
        <is>
          <t>WB Electronics</t>
        </is>
      </c>
      <c r="H70" s="20" t="inlineStr">
        <is>
          <t>Polish defence supply chain / Land</t>
        </is>
      </c>
      <c r="I70" s="20" t="inlineStr">
        <is>
          <t>Miranda Sp. z o.o.</t>
        </is>
      </c>
      <c r="J70" s="20" t="inlineStr">
        <is>
          <t>Miranda Textiles</t>
        </is>
      </c>
      <c r="K70" s="20" t="inlineStr">
        <is>
          <t>Poland</t>
        </is>
      </c>
      <c r="L70" s="20" t="inlineStr">
        <is>
          <t>BERBERYS multispectral camouflage covers — WB Electronics supply contract</t>
        </is>
      </c>
      <c r="M70" s="20" t="inlineStr">
        <is>
          <t>Land systems / covers</t>
        </is>
      </c>
      <c r="N70" s="20" t="inlineStr">
        <is>
          <t>BERBERYS multispectral camouflage covers</t>
        </is>
      </c>
      <c r="O70" s="20" t="inlineStr">
        <is>
          <t>Multispectral</t>
        </is>
      </c>
      <c r="P70" s="20" t="inlineStr">
        <is>
          <t>Production contract</t>
        </is>
      </c>
      <c r="Q70" s="20" t="inlineStr">
        <is>
          <t>Award</t>
        </is>
      </c>
      <c r="R70" s="20" t="inlineStr">
        <is>
          <t>Yes</t>
        </is>
      </c>
      <c r="S70" s="99" t="str"/>
      <c r="T70" s="20" t="inlineStr">
        <is>
          <t>Unknown</t>
        </is>
      </c>
      <c r="U70" s="20" t="inlineStr">
        <is>
          <t>Not disclosed</t>
        </is>
      </c>
      <c r="V70" s="100" t="inlineStr">
        <is>
          <t>21976134.30</t>
        </is>
      </c>
      <c r="W70" s="20" t="inlineStr">
        <is>
          <t>PLN</t>
        </is>
      </c>
      <c r="X70" s="20" t="inlineStr">
        <is>
          <t>Signed gross contract value</t>
        </is>
      </c>
      <c r="Y70" s="20" t="inlineStr">
        <is>
          <t>Committed signed production contract</t>
        </is>
      </c>
      <c r="Z70" s="20" t="inlineStr">
        <is>
          <t>No</t>
        </is>
      </c>
      <c r="AA70" s="20" t="inlineStr">
        <is>
          <t>Production Procurement</t>
        </is>
      </c>
      <c r="AB70" s="20" t="inlineStr">
        <is>
          <t>Land</t>
        </is>
      </c>
      <c r="AC70" s="20" t="inlineStr">
        <is>
          <t>Yes</t>
        </is>
      </c>
      <c r="AD70" s="20" t="str"/>
      <c r="AE70" s="20" t="inlineStr">
        <is>
          <t>https://lubawagroup.com/raporty-biezace/13-2024-podpisanie-znaczacej-umowy-w-spolce-zaleznej/</t>
        </is>
      </c>
      <c r="AF70" s="20" t="inlineStr">
        <is>
          <t>Official company regulatory filing</t>
        </is>
      </c>
      <c r="AG70" s="20" t="inlineStr">
        <is>
          <t>Primary / official</t>
        </is>
      </c>
      <c r="AH70" s="20" t="inlineStr">
        <is>
          <t>High</t>
        </is>
      </c>
      <c r="AI70" s="20" t="inlineStr">
        <is>
          <t>Separate signed contract with WB Electronics for 2024–2026 deliveries; distinct buyer and contract from the May 2024 ZM Tarnow BERBERYS agreement.</t>
        </is>
      </c>
      <c r="AJ70" s="20" t="inlineStr">
        <is>
          <t>No</t>
        </is>
      </c>
      <c r="AK70" s="20" t="inlineStr">
        <is>
          <t>No</t>
        </is>
      </c>
      <c r="AL70" s="20" t="inlineStr">
        <is>
          <t>No</t>
        </is>
      </c>
      <c r="AM70" s="20" t="inlineStr">
        <is>
          <t>Yes</t>
        </is>
      </c>
      <c r="AN70" s="20" t="inlineStr">
        <is>
          <t>No</t>
        </is>
      </c>
      <c r="AO70" s="20" t="inlineStr">
        <is>
          <t>No</t>
        </is>
      </c>
      <c r="AP70" s="20" t="inlineStr">
        <is>
          <t>Included in Land core</t>
        </is>
      </c>
      <c r="AQ70" s="92" t="n">
        <v>1</v>
      </c>
      <c r="AR70" s="92" t="n">
        <v>1</v>
      </c>
      <c r="AS70" s="92" t="n">
        <v>0</v>
      </c>
      <c r="AT70" s="92" t="n">
        <v>1</v>
      </c>
      <c r="AU70" s="92" t="n">
        <v>0</v>
      </c>
      <c r="AV70" s="92" t="n">
        <v>1</v>
      </c>
      <c r="AW70" s="92" t="n">
        <v>0</v>
      </c>
    </row>
    <row r="71">
      <c r="A71" s="20" t="inlineStr">
        <is>
          <t>SM-0067</t>
        </is>
      </c>
      <c r="B71" s="20" t="inlineStr">
        <is>
          <t>DE-SMT-2024-25</t>
        </is>
      </c>
      <c r="C71" s="98" t="inlineStr">
        <is>
          <t>2024-06-25</t>
        </is>
      </c>
      <c r="D71" s="92" t="n">
        <v>2024</v>
      </c>
      <c r="E71" s="20" t="inlineStr">
        <is>
          <t>Germany</t>
        </is>
      </c>
      <c r="F71" s="20" t="inlineStr">
        <is>
          <t>German Federal Office of Bundeswehr Equipment (BAAINBw)</t>
        </is>
      </c>
      <c r="G71" s="20" t="inlineStr">
        <is>
          <t>BAAINBw / Bundeswehr</t>
        </is>
      </c>
      <c r="H71" s="20" t="inlineStr">
        <is>
          <t>Defence / not disclosed</t>
        </is>
      </c>
      <c r="I71" s="20" t="inlineStr">
        <is>
          <t>Sioen Industries NV</t>
        </is>
      </c>
      <c r="J71" s="20" t="inlineStr">
        <is>
          <t>Sioen Industries</t>
        </is>
      </c>
      <c r="K71" s="20" t="inlineStr">
        <is>
          <t>Belgium</t>
        </is>
      </c>
      <c r="L71" s="20" t="inlineStr">
        <is>
          <t>Stationäre multispektrale Tarnausstattung (SMT)</t>
        </is>
      </c>
      <c r="M71" s="20" t="inlineStr">
        <is>
          <t>Nets / Covers</t>
        </is>
      </c>
      <c r="N71" s="20" t="inlineStr">
        <is>
          <t>Stationary multispectral camouflage equipment</t>
        </is>
      </c>
      <c r="O71" s="20" t="inlineStr">
        <is>
          <t>Multispectral</t>
        </is>
      </c>
      <c r="P71" s="20" t="inlineStr">
        <is>
          <t>Tender</t>
        </is>
      </c>
      <c r="Q71" s="20" t="n"/>
      <c r="R71" s="20" t="inlineStr">
        <is>
          <t>No</t>
        </is>
      </c>
      <c r="S71" s="99" t="n"/>
      <c r="T71" s="20" t="inlineStr">
        <is>
          <t>nets</t>
        </is>
      </c>
      <c r="U71" s="20" t="n"/>
      <c r="V71" s="100" t="n"/>
      <c r="W71" s="20" t="n"/>
      <c r="X71" s="20" t="n"/>
      <c r="Y71" s="20" t="inlineStr">
        <is>
          <t>Obligated / signed if disclosed</t>
        </is>
      </c>
      <c r="Z71" s="20" t="inlineStr">
        <is>
          <t>No</t>
        </is>
      </c>
      <c r="AA71" s="20" t="inlineStr">
        <is>
          <t>Demand</t>
        </is>
      </c>
      <c r="AB71" s="20" t="inlineStr">
        <is>
          <t>Land</t>
        </is>
      </c>
      <c r="AC71" s="20" t="inlineStr">
        <is>
          <t>Yes</t>
        </is>
      </c>
      <c r="AD71" s="20" t="n"/>
      <c r="AE71" s="20" t="inlineStr">
        <is>
          <t>https://op.europa.eu/en/web/public-procurement/procurement-details/-/procurement/06fdcc5d-93eb-4601-ae03-5290ba3aecd8</t>
        </is>
      </c>
      <c r="AF71" s="20" t="inlineStr">
        <is>
          <t>Official government / MOD procurement source</t>
        </is>
      </c>
      <c r="AG71" s="20" t="inlineStr">
        <is>
          <t>Primary / official</t>
        </is>
      </c>
      <c r="AH71" s="20" t="inlineStr">
        <is>
          <t>High</t>
        </is>
      </c>
      <c r="AI71" s="20" t="inlineStr">
        <is>
          <t>Tender stage of procurement later awarded to Sioen.</t>
        </is>
      </c>
      <c r="AJ71" s="20" t="inlineStr">
        <is>
          <t>Yes</t>
        </is>
      </c>
      <c r="AK71" s="20" t="inlineStr">
        <is>
          <t>Yes</t>
        </is>
      </c>
      <c r="AL71" s="20" t="inlineStr">
        <is>
          <t>No</t>
        </is>
      </c>
      <c r="AM71" s="20" t="inlineStr">
        <is>
          <t>No</t>
        </is>
      </c>
      <c r="AN71" s="20" t="inlineStr">
        <is>
          <t>No</t>
        </is>
      </c>
      <c r="AO71" s="20" t="inlineStr">
        <is>
          <t>Yes</t>
        </is>
      </c>
      <c r="AP71" s="20" t="inlineStr">
        <is>
          <t>Included in Land core</t>
        </is>
      </c>
      <c r="AQ71" s="92" t="n">
        <v>1</v>
      </c>
      <c r="AR71" s="92" t="n">
        <v>0</v>
      </c>
      <c r="AS71" s="92" t="n">
        <v>1</v>
      </c>
      <c r="AT71" s="92" t="n">
        <v>1</v>
      </c>
      <c r="AU71" s="92" t="n">
        <v>1</v>
      </c>
      <c r="AV71" s="92" t="n">
        <v>1</v>
      </c>
      <c r="AW71" s="92" t="n">
        <v>0</v>
      </c>
    </row>
    <row r="72">
      <c r="A72" s="20" t="inlineStr">
        <is>
          <t>SM-0068</t>
        </is>
      </c>
      <c r="B72" s="20" t="inlineStr">
        <is>
          <t>AU-LAND400-P3-MCS</t>
        </is>
      </c>
      <c r="C72" s="98" t="inlineStr">
        <is>
          <t>2024-07-08</t>
        </is>
      </c>
      <c r="D72" s="92" t="n">
        <v>2024</v>
      </c>
      <c r="E72" s="20" t="inlineStr">
        <is>
          <t>Australia</t>
        </is>
      </c>
      <c r="F72" s="20" t="inlineStr">
        <is>
          <t>Hanwha Defence Australia / Australian Army</t>
        </is>
      </c>
      <c r="G72" s="20" t="inlineStr">
        <is>
          <t>Hanwha Defence Australia / Australian Army</t>
        </is>
      </c>
      <c r="H72" s="20" t="inlineStr">
        <is>
          <t>Army / Land</t>
        </is>
      </c>
      <c r="I72" s="20" t="inlineStr">
        <is>
          <t>CBG Systems</t>
        </is>
      </c>
      <c r="J72" s="20" t="inlineStr">
        <is>
          <t>CBG Systems</t>
        </is>
      </c>
      <c r="K72" s="20" t="inlineStr">
        <is>
          <t>Unknown</t>
        </is>
      </c>
      <c r="L72" s="20" t="inlineStr">
        <is>
          <t>LAND 400 Phase 3</t>
        </is>
      </c>
      <c r="M72" s="20" t="inlineStr">
        <is>
          <t>Redback IFV</t>
        </is>
      </c>
      <c r="N72" s="20" t="inlineStr">
        <is>
          <t>SolarSigmaShield MCS for Redback IFV</t>
        </is>
      </c>
      <c r="O72" s="20" t="inlineStr">
        <is>
          <t>Multispectral</t>
        </is>
      </c>
      <c r="P72" s="20" t="inlineStr">
        <is>
          <t>Production supply contract</t>
        </is>
      </c>
      <c r="Q72" s="20" t="inlineStr">
        <is>
          <t>Award</t>
        </is>
      </c>
      <c r="R72" s="20" t="inlineStr">
        <is>
          <t>Yes</t>
        </is>
      </c>
      <c r="S72" s="99" t="inlineStr">
        <is>
          <t>129</t>
        </is>
      </c>
      <c r="T72" s="20" t="inlineStr">
        <is>
          <t>units</t>
        </is>
      </c>
      <c r="U72" s="20" t="inlineStr">
        <is>
          <t>Actual / contracted</t>
        </is>
      </c>
      <c r="V72" s="100" t="n"/>
      <c r="W72" s="20" t="inlineStr">
        <is>
          <t>Unknown</t>
        </is>
      </c>
      <c r="X72" s="20" t="inlineStr">
        <is>
          <t>Undisclosed</t>
        </is>
      </c>
      <c r="Y72" s="20" t="inlineStr">
        <is>
          <t>Obligated / signed if disclosed</t>
        </is>
      </c>
      <c r="Z72" s="20" t="inlineStr">
        <is>
          <t>No</t>
        </is>
      </c>
      <c r="AA72" s="20" t="inlineStr">
        <is>
          <t>Production Procurement</t>
        </is>
      </c>
      <c r="AB72" s="20" t="inlineStr">
        <is>
          <t>Land</t>
        </is>
      </c>
      <c r="AC72" s="20" t="inlineStr">
        <is>
          <t>Yes</t>
        </is>
      </c>
      <c r="AD72" s="20" t="n"/>
      <c r="AE72" s="20" t="inlineStr">
        <is>
          <t>https://www.cbgsystems.com/land-400-phase-3-solarsigmashield-for-redback/</t>
        </is>
      </c>
      <c r="AF72" s="20" t="inlineStr">
        <is>
          <t>Company announcement; quantity from defence trade press</t>
        </is>
      </c>
      <c r="AG72" s="20" t="inlineStr">
        <is>
          <t>Supplier / prime announcement</t>
        </is>
      </c>
      <c r="AH72" s="20" t="inlineStr">
        <is>
          <t>Medium</t>
        </is>
      </c>
      <c r="AI72" s="20" t="inlineStr">
        <is>
          <t>Contract is primary-source confirmed; 129-vehicle quantity is secondary-source reported and explicitly caveated.</t>
        </is>
      </c>
      <c r="AJ72" s="20" t="inlineStr">
        <is>
          <t>No</t>
        </is>
      </c>
      <c r="AK72" s="20" t="inlineStr">
        <is>
          <t>Yes</t>
        </is>
      </c>
      <c r="AL72" s="20" t="inlineStr">
        <is>
          <t>No</t>
        </is>
      </c>
      <c r="AM72" s="20" t="inlineStr">
        <is>
          <t>No</t>
        </is>
      </c>
      <c r="AN72" s="20" t="inlineStr">
        <is>
          <t>No</t>
        </is>
      </c>
      <c r="AO72" s="20" t="inlineStr">
        <is>
          <t>No</t>
        </is>
      </c>
      <c r="AP72" s="20" t="inlineStr">
        <is>
          <t>Included in Land core</t>
        </is>
      </c>
      <c r="AQ72" s="92" t="n">
        <v>1</v>
      </c>
      <c r="AR72" s="92" t="n">
        <v>1</v>
      </c>
      <c r="AS72" s="92" t="n">
        <v>1</v>
      </c>
      <c r="AT72" s="92" t="n">
        <v>1</v>
      </c>
      <c r="AU72" s="92" t="n">
        <v>1</v>
      </c>
      <c r="AV72" s="92" t="n">
        <v>1</v>
      </c>
      <c r="AW72" s="92" t="n">
        <v>0</v>
      </c>
    </row>
    <row r="73">
      <c r="A73" s="20" t="inlineStr">
        <is>
          <t>SM-0069</t>
        </is>
      </c>
      <c r="B73" s="20" t="inlineStr">
        <is>
          <t>DEC-W911NF2490001</t>
        </is>
      </c>
      <c r="C73" s="98" t="inlineStr">
        <is>
          <t>2024-08-16</t>
        </is>
      </c>
      <c r="D73" s="92" t="n">
        <v>2024</v>
      </c>
      <c r="E73" s="20" t="inlineStr">
        <is>
          <t>United States</t>
        </is>
      </c>
      <c r="F73" s="20" t="inlineStr">
        <is>
          <t>U.S. Army DEVCOM / Army Contracting Command</t>
        </is>
      </c>
      <c r="G73" s="20" t="inlineStr">
        <is>
          <t>U.S. Army</t>
        </is>
      </c>
      <c r="H73" s="20" t="inlineStr">
        <is>
          <t>Army / Land</t>
        </is>
      </c>
      <c r="I73" s="20" t="inlineStr">
        <is>
          <t>DECPT</t>
        </is>
      </c>
      <c r="J73" s="20" t="inlineStr">
        <is>
          <t>DECPT</t>
        </is>
      </c>
      <c r="K73" s="20" t="inlineStr">
        <is>
          <t>Denmark</t>
        </is>
      </c>
      <c r="L73" s="20" t="inlineStr">
        <is>
          <t>W911NF2490001</t>
        </is>
      </c>
      <c r="M73" s="20" t="inlineStr">
        <is>
          <t>Other</t>
        </is>
      </c>
      <c r="N73" s="20" t="inlineStr">
        <is>
          <t>Novel Camouflaging and Thermal Concealment Technology</t>
        </is>
      </c>
      <c r="O73" s="20" t="inlineStr">
        <is>
          <t>IR / Thermal; Multispectral</t>
        </is>
      </c>
      <c r="P73" s="20" t="inlineStr">
        <is>
          <t>Funded Development</t>
        </is>
      </c>
      <c r="Q73" s="20" t="n"/>
      <c r="R73" s="20" t="inlineStr">
        <is>
          <t>No</t>
        </is>
      </c>
      <c r="S73" s="99" t="n"/>
      <c r="T73" s="20" t="inlineStr">
        <is>
          <t>Unknown</t>
        </is>
      </c>
      <c r="U73" s="20" t="n"/>
      <c r="V73" s="100" t="inlineStr">
        <is>
          <t>62000.0</t>
        </is>
      </c>
      <c r="W73" s="20" t="inlineStr">
        <is>
          <t>USD</t>
        </is>
      </c>
      <c r="X73" s="20" t="n"/>
      <c r="Y73" s="20" t="inlineStr">
        <is>
          <t>Obligated / signed if disclosed</t>
        </is>
      </c>
      <c r="Z73" s="20" t="inlineStr">
        <is>
          <t>No</t>
        </is>
      </c>
      <c r="AA73" s="20" t="inlineStr">
        <is>
          <t>Development / Validation</t>
        </is>
      </c>
      <c r="AB73" s="20" t="inlineStr">
        <is>
          <t>Land</t>
        </is>
      </c>
      <c r="AC73" s="20" t="inlineStr">
        <is>
          <t>Yes</t>
        </is>
      </c>
      <c r="AD73" s="20" t="n"/>
      <c r="AE73" s="20" t="inlineStr">
        <is>
          <t>https://www.federalcompass.com/fed-contract-award/W911NF2490001</t>
        </is>
      </c>
      <c r="AF73" s="20" t="inlineStr">
        <is>
          <t>Other credible third-party source (FPDS/SAM-derived)</t>
        </is>
      </c>
      <c r="AG73" s="20" t="inlineStr">
        <is>
          <t>Secondary / aggregator</t>
        </is>
      </c>
      <c r="AH73" s="20" t="inlineStr">
        <is>
          <t>High</t>
        </is>
      </c>
      <c r="AI73" s="20" t="inlineStr">
        <is>
          <t>GovTribe displays a later date; dataset uses the Federal Compass/FPDS-derived 2024-08-16 award date.</t>
        </is>
      </c>
      <c r="AJ73" s="20" t="inlineStr">
        <is>
          <t>Yes</t>
        </is>
      </c>
      <c r="AK73" s="20" t="inlineStr">
        <is>
          <t>Yes</t>
        </is>
      </c>
      <c r="AL73" s="20" t="inlineStr">
        <is>
          <t>No</t>
        </is>
      </c>
      <c r="AM73" s="20" t="inlineStr">
        <is>
          <t>No</t>
        </is>
      </c>
      <c r="AN73" s="20" t="inlineStr">
        <is>
          <t>No</t>
        </is>
      </c>
      <c r="AO73" s="20" t="inlineStr">
        <is>
          <t>No</t>
        </is>
      </c>
      <c r="AP73" s="20" t="inlineStr">
        <is>
          <t>Included in Land core</t>
        </is>
      </c>
      <c r="AQ73" s="92" t="n">
        <v>1</v>
      </c>
      <c r="AR73" s="92" t="n">
        <v>0</v>
      </c>
      <c r="AS73" s="92" t="n">
        <v>1</v>
      </c>
      <c r="AT73" s="92" t="n">
        <v>0</v>
      </c>
      <c r="AU73" s="92" t="n">
        <v>0</v>
      </c>
      <c r="AV73" s="92" t="n">
        <v>1</v>
      </c>
      <c r="AW73" s="92" t="n">
        <v>0</v>
      </c>
    </row>
    <row r="74">
      <c r="A74" s="20" t="inlineStr">
        <is>
          <t>SM-0070</t>
        </is>
      </c>
      <c r="B74" s="20" t="inlineStr">
        <is>
          <t>NO-SAAB-MCS-4600002386</t>
        </is>
      </c>
      <c r="C74" s="98" t="inlineStr">
        <is>
          <t>2024-08-27</t>
        </is>
      </c>
      <c r="D74" s="92" t="n">
        <v>2024</v>
      </c>
      <c r="E74" s="20" t="inlineStr">
        <is>
          <t>Norway</t>
        </is>
      </c>
      <c r="F74" s="20" t="inlineStr">
        <is>
          <t>Norwegian Defence Logistics Organisation / Forsvaret</t>
        </is>
      </c>
      <c r="G74" s="20" t="inlineStr">
        <is>
          <t>Norwegian FMA</t>
        </is>
      </c>
      <c r="H74" s="20" t="inlineStr">
        <is>
          <t>Army / Land</t>
        </is>
      </c>
      <c r="I74" s="20" t="inlineStr">
        <is>
          <t>Saab Barracuda AB</t>
        </is>
      </c>
      <c r="J74" s="20" t="inlineStr">
        <is>
          <t>Saab Barracuda</t>
        </is>
      </c>
      <c r="K74" s="20" t="inlineStr">
        <is>
          <t>Sweden</t>
        </is>
      </c>
      <c r="L74" s="20" t="inlineStr">
        <is>
          <t>Framework 4600002386 / PO 4502549898</t>
        </is>
      </c>
      <c r="M74" s="20" t="inlineStr">
        <is>
          <t>Land platform; exact platform not disclosed</t>
        </is>
      </c>
      <c r="N74" s="20" t="inlineStr">
        <is>
          <t>Saab Barracuda camouflage system / MCS-linked call-off</t>
        </is>
      </c>
      <c r="O74" s="20" t="inlineStr">
        <is>
          <t>Camouflage / signature management; bands not disclosed</t>
        </is>
      </c>
      <c r="P74" s="20" t="inlineStr">
        <is>
          <t>Call-off order</t>
        </is>
      </c>
      <c r="Q74" s="20" t="inlineStr">
        <is>
          <t>Order</t>
        </is>
      </c>
      <c r="R74" s="20" t="inlineStr">
        <is>
          <t>Yes</t>
        </is>
      </c>
      <c r="S74" s="99" t="n"/>
      <c r="T74" s="20" t="inlineStr">
        <is>
          <t>Unknown</t>
        </is>
      </c>
      <c r="U74" s="20" t="n"/>
      <c r="V74" s="100" t="inlineStr">
        <is>
          <t>Not disclosed</t>
        </is>
      </c>
      <c r="W74" s="20" t="n"/>
      <c r="X74" s="20" t="n"/>
      <c r="Y74" s="20" t="inlineStr">
        <is>
          <t>Obligated / signed if disclosed</t>
        </is>
      </c>
      <c r="Z74" s="20" t="inlineStr">
        <is>
          <t>Yes</t>
        </is>
      </c>
      <c r="AA74" s="20" t="inlineStr">
        <is>
          <t>Production Procurement</t>
        </is>
      </c>
      <c r="AB74" s="20" t="inlineStr">
        <is>
          <t>Land</t>
        </is>
      </c>
      <c r="AC74" s="20" t="inlineStr">
        <is>
          <t>Yes</t>
        </is>
      </c>
      <c r="AD74" s="20" t="n"/>
      <c r="AE74" s="20" t="inlineStr">
        <is>
          <t>https://www.forsvaret.no/aktuelt-og-presse/offentleg-journal/journal-flo/FLO%20-%202024-35.pdf</t>
        </is>
      </c>
      <c r="AF74" s="20" t="inlineStr">
        <is>
          <t>Official Norwegian Armed Forces public journal</t>
        </is>
      </c>
      <c r="AG74" s="20" t="inlineStr">
        <is>
          <t>Secondary / aggregator</t>
        </is>
      </c>
      <c r="AH74" s="20" t="inlineStr">
        <is>
          <t>High</t>
        </is>
      </c>
      <c r="AI74" s="20" t="inlineStr">
        <is>
          <t>Repeat call-off under same Norwegian framework.</t>
        </is>
      </c>
      <c r="AJ74" s="20" t="inlineStr">
        <is>
          <t>No</t>
        </is>
      </c>
      <c r="AK74" s="20" t="inlineStr">
        <is>
          <t>No</t>
        </is>
      </c>
      <c r="AL74" s="20" t="inlineStr">
        <is>
          <t>Yes</t>
        </is>
      </c>
      <c r="AM74" s="20" t="inlineStr">
        <is>
          <t>No</t>
        </is>
      </c>
      <c r="AN74" s="20" t="inlineStr">
        <is>
          <t>No</t>
        </is>
      </c>
      <c r="AO74" s="20" t="inlineStr">
        <is>
          <t>Yes</t>
        </is>
      </c>
      <c r="AP74" s="20" t="inlineStr">
        <is>
          <t>Included in Land core</t>
        </is>
      </c>
      <c r="AQ74" s="92" t="n">
        <v>0</v>
      </c>
      <c r="AR74" s="92" t="n">
        <v>0</v>
      </c>
      <c r="AS74" s="92" t="n">
        <v>0</v>
      </c>
      <c r="AT74" s="92" t="n">
        <v>0</v>
      </c>
      <c r="AU74" s="92" t="n">
        <v>0</v>
      </c>
      <c r="AV74" s="92" t="n">
        <v>0</v>
      </c>
      <c r="AW74" s="92" t="n">
        <v>1</v>
      </c>
    </row>
    <row r="75">
      <c r="A75" s="20" t="inlineStr">
        <is>
          <t>SM-0071</t>
        </is>
      </c>
      <c r="B75" s="20" t="inlineStr">
        <is>
          <t>ARC-USN-RAM</t>
        </is>
      </c>
      <c r="C75" s="98" t="inlineStr">
        <is>
          <t>2024-09-10</t>
        </is>
      </c>
      <c r="D75" s="92" t="n">
        <v>2024</v>
      </c>
      <c r="E75" s="20" t="inlineStr">
        <is>
          <t>United States</t>
        </is>
      </c>
      <c r="F75" s="20" t="inlineStr">
        <is>
          <t>NAVSUP Weapon Systems Support / U.S. Navy</t>
        </is>
      </c>
      <c r="G75" s="20" t="inlineStr">
        <is>
          <t>U.S. Navy</t>
        </is>
      </c>
      <c r="H75" s="20" t="inlineStr">
        <is>
          <t>Navy</t>
        </is>
      </c>
      <c r="I75" s="20" t="inlineStr">
        <is>
          <t>ARC Technologies LLC (Hexcel subsidiary)</t>
        </is>
      </c>
      <c r="J75" s="20" t="inlineStr">
        <is>
          <t>ARC Technologies / Hexcel</t>
        </is>
      </c>
      <c r="K75" s="20" t="inlineStr">
        <is>
          <t>USA</t>
        </is>
      </c>
      <c r="L75" s="20" t="inlineStr">
        <is>
          <t>Navy radar equipment</t>
        </is>
      </c>
      <c r="M75" s="20" t="inlineStr">
        <is>
          <t>RAM / Composite</t>
        </is>
      </c>
      <c r="N75" s="20" t="inlineStr">
        <is>
          <t>Radio-frequency absorber (NSN 1HM 6625 014225155)</t>
        </is>
      </c>
      <c r="O75" s="20" t="inlineStr">
        <is>
          <t>Radar / RCS</t>
        </is>
      </c>
      <c r="P75" s="20" t="inlineStr">
        <is>
          <t>Order</t>
        </is>
      </c>
      <c r="Q75" s="20" t="n"/>
      <c r="R75" s="20" t="inlineStr">
        <is>
          <t>Yes</t>
        </is>
      </c>
      <c r="S75" s="99" t="inlineStr">
        <is>
          <t>8</t>
        </is>
      </c>
      <c r="T75" s="20" t="inlineStr">
        <is>
          <t>units</t>
        </is>
      </c>
      <c r="U75" s="20" t="n"/>
      <c r="V75" s="100" t="inlineStr">
        <is>
          <t>34400.0</t>
        </is>
      </c>
      <c r="W75" s="20" t="inlineStr">
        <is>
          <t>USD</t>
        </is>
      </c>
      <c r="X75" s="20" t="n"/>
      <c r="Y75" s="20" t="inlineStr">
        <is>
          <t>Obligated / signed if disclosed</t>
        </is>
      </c>
      <c r="Z75" s="20" t="inlineStr">
        <is>
          <t>No</t>
        </is>
      </c>
      <c r="AA75" s="20" t="inlineStr">
        <is>
          <t>Production Procurement</t>
        </is>
      </c>
      <c r="AB75" s="20" t="inlineStr">
        <is>
          <t>Maritime</t>
        </is>
      </c>
      <c r="AC75" s="20" t="inlineStr">
        <is>
          <t>No</t>
        </is>
      </c>
      <c r="AD75" s="20" t="inlineStr">
        <is>
          <t>Maritime/contextual</t>
        </is>
      </c>
      <c r="AE75" s="20" t="inlineStr">
        <is>
          <t>https://www.federalcompass.com/fed-contract-award/N0010424PYC77</t>
        </is>
      </c>
      <c r="AF75" s="20" t="inlineStr">
        <is>
          <t>Other credible third-party source (FPDS/SAM-derived)</t>
        </is>
      </c>
      <c r="AG75" s="20" t="inlineStr">
        <is>
          <t>Secondary / aggregator</t>
        </is>
      </c>
      <c r="AH75" s="20" t="inlineStr">
        <is>
          <t>High</t>
        </is>
      </c>
      <c r="AI75" s="20" t="inlineStr">
        <is>
          <t>Separate Navy order within the broader ARC absorber product family.</t>
        </is>
      </c>
      <c r="AJ75" s="20" t="inlineStr">
        <is>
          <t>Yes</t>
        </is>
      </c>
      <c r="AK75" s="20" t="inlineStr">
        <is>
          <t>No</t>
        </is>
      </c>
      <c r="AL75" s="20" t="inlineStr">
        <is>
          <t>No</t>
        </is>
      </c>
      <c r="AM75" s="20" t="inlineStr">
        <is>
          <t>No</t>
        </is>
      </c>
      <c r="AN75" s="20" t="inlineStr">
        <is>
          <t>No</t>
        </is>
      </c>
      <c r="AO75" s="20" t="inlineStr">
        <is>
          <t>Yes</t>
        </is>
      </c>
      <c r="AP75" s="20" t="inlineStr">
        <is>
          <t>Retained as contextual; excluded from Land core</t>
        </is>
      </c>
      <c r="AQ75" s="92" t="n">
        <v>0</v>
      </c>
      <c r="AR75" s="92" t="n">
        <v>0</v>
      </c>
      <c r="AS75" s="92" t="n">
        <v>0</v>
      </c>
      <c r="AT75" s="92" t="n">
        <v>0</v>
      </c>
      <c r="AU75" s="92" t="n">
        <v>0</v>
      </c>
      <c r="AV75" s="92" t="n">
        <v>0</v>
      </c>
      <c r="AW75" s="92" t="n">
        <v>0</v>
      </c>
    </row>
    <row r="76">
      <c r="A76" s="20" t="inlineStr">
        <is>
          <t>SM-0072</t>
        </is>
      </c>
      <c r="B76" s="20" t="inlineStr">
        <is>
          <t>ULCANS-IDV-W911QY18D0210</t>
        </is>
      </c>
      <c r="C76" s="98" t="inlineStr">
        <is>
          <t>2024-09-13</t>
        </is>
      </c>
      <c r="D76" s="92" t="n">
        <v>2024</v>
      </c>
      <c r="E76" s="20" t="inlineStr">
        <is>
          <t>United States</t>
        </is>
      </c>
      <c r="F76" s="20" t="inlineStr">
        <is>
          <t>U.S. Army PEO CSCSS</t>
        </is>
      </c>
      <c r="G76" s="20" t="inlineStr">
        <is>
          <t>U.S. Army</t>
        </is>
      </c>
      <c r="H76" s="20" t="inlineStr">
        <is>
          <t>Army / Land</t>
        </is>
      </c>
      <c r="I76" s="20" t="inlineStr">
        <is>
          <t>Fibrotex USA Inc. / Fibrotex Technologies</t>
        </is>
      </c>
      <c r="J76" s="20" t="inlineStr">
        <is>
          <t>Fibrotex</t>
        </is>
      </c>
      <c r="K76" s="20" t="inlineStr">
        <is>
          <t>Israel / USA</t>
        </is>
      </c>
      <c r="L76" s="20" t="inlineStr">
        <is>
          <t>ULCANS</t>
        </is>
      </c>
      <c r="M76" s="20" t="inlineStr">
        <is>
          <t>Nets / Covers</t>
        </is>
      </c>
      <c r="N76" s="20" t="inlineStr">
        <is>
          <t>ULCANS production systems</t>
        </is>
      </c>
      <c r="O76" s="20" t="inlineStr">
        <is>
          <t>Multispectral</t>
        </is>
      </c>
      <c r="P76" s="20" t="inlineStr">
        <is>
          <t>Order</t>
        </is>
      </c>
      <c r="Q76" s="20" t="n"/>
      <c r="R76" s="20" t="inlineStr">
        <is>
          <t>Yes</t>
        </is>
      </c>
      <c r="S76" s="99" t="n"/>
      <c r="T76" s="20" t="inlineStr">
        <is>
          <t>Unknown</t>
        </is>
      </c>
      <c r="U76" s="20" t="n"/>
      <c r="V76" s="100" t="inlineStr">
        <is>
          <t>11256910.83</t>
        </is>
      </c>
      <c r="W76" s="20" t="inlineStr">
        <is>
          <t>USD</t>
        </is>
      </c>
      <c r="X76" s="20" t="n"/>
      <c r="Y76" s="20" t="inlineStr">
        <is>
          <t>Obligated / signed if disclosed</t>
        </is>
      </c>
      <c r="Z76" s="20" t="inlineStr">
        <is>
          <t>Yes</t>
        </is>
      </c>
      <c r="AA76" s="20" t="inlineStr">
        <is>
          <t>Production Procurement</t>
        </is>
      </c>
      <c r="AB76" s="20" t="inlineStr">
        <is>
          <t>Land</t>
        </is>
      </c>
      <c r="AC76" s="20" t="inlineStr">
        <is>
          <t>Yes</t>
        </is>
      </c>
      <c r="AD76" s="20" t="n"/>
      <c r="AE76" s="20" t="inlineStr">
        <is>
          <t>https://govtribe.com/award/federal-idv-award/indefinite-delivery-contract-w911qy18d0210</t>
        </is>
      </c>
      <c r="AF76" s="20" t="inlineStr">
        <is>
          <t>Other credible third-party source (FPDS/SAM-derived)</t>
        </is>
      </c>
      <c r="AG76" s="20" t="inlineStr">
        <is>
          <t>Secondary / aggregator</t>
        </is>
      </c>
      <c r="AH76" s="20" t="inlineStr">
        <is>
          <t>High</t>
        </is>
      </c>
      <c r="AI76" s="20" t="inlineStr">
        <is>
          <t>Distinct delivery/order event. Parent ULCANS IDIQ ceiling is not counted as sales; amendments are not separate events.</t>
        </is>
      </c>
      <c r="AJ76" s="20" t="inlineStr">
        <is>
          <t>Yes</t>
        </is>
      </c>
      <c r="AK76" s="20" t="inlineStr">
        <is>
          <t>No</t>
        </is>
      </c>
      <c r="AL76" s="20" t="inlineStr">
        <is>
          <t>No</t>
        </is>
      </c>
      <c r="AM76" s="20" t="inlineStr">
        <is>
          <t>No</t>
        </is>
      </c>
      <c r="AN76" s="20" t="inlineStr">
        <is>
          <t>No</t>
        </is>
      </c>
      <c r="AO76" s="20" t="inlineStr">
        <is>
          <t>Yes</t>
        </is>
      </c>
      <c r="AP76" s="20" t="inlineStr">
        <is>
          <t>Included in Land core</t>
        </is>
      </c>
      <c r="AQ76" s="92" t="n">
        <v>0</v>
      </c>
      <c r="AR76" s="92" t="n">
        <v>0</v>
      </c>
      <c r="AS76" s="92" t="n">
        <v>0</v>
      </c>
      <c r="AT76" s="92" t="n">
        <v>0</v>
      </c>
      <c r="AU76" s="92" t="n">
        <v>0</v>
      </c>
      <c r="AV76" s="92" t="n">
        <v>0</v>
      </c>
      <c r="AW76" s="92" t="n">
        <v>1</v>
      </c>
    </row>
    <row r="77">
      <c r="A77" s="20" t="inlineStr">
        <is>
          <t>SM-0073</t>
        </is>
      </c>
      <c r="B77" s="20" t="inlineStr">
        <is>
          <t>FIB-USAF-FA483024P0076</t>
        </is>
      </c>
      <c r="C77" s="98" t="inlineStr">
        <is>
          <t>2024-09-30</t>
        </is>
      </c>
      <c r="D77" s="92" t="n">
        <v>2024</v>
      </c>
      <c r="E77" s="20" t="inlineStr">
        <is>
          <t>United States</t>
        </is>
      </c>
      <c r="F77" s="20" t="inlineStr">
        <is>
          <t>U.S. Air Force / Moody AFB</t>
        </is>
      </c>
      <c r="G77" s="20" t="inlineStr">
        <is>
          <t>U.S. Air Force / Air Combat Command</t>
        </is>
      </c>
      <c r="H77" s="20" t="inlineStr">
        <is>
          <t>Air Force / Aviation</t>
        </is>
      </c>
      <c r="I77" s="20" t="inlineStr">
        <is>
          <t>Fibrotex USA Inc. / Fibrotex Technologies</t>
        </is>
      </c>
      <c r="J77" s="20" t="inlineStr">
        <is>
          <t>Fibrotex</t>
        </is>
      </c>
      <c r="K77" s="20" t="inlineStr">
        <is>
          <t>Israel / USA</t>
        </is>
      </c>
      <c r="L77" s="20" t="inlineStr">
        <is>
          <t>Moody AFB camouflage kits</t>
        </is>
      </c>
      <c r="M77" s="20" t="inlineStr">
        <is>
          <t>Nets / Covers</t>
        </is>
      </c>
      <c r="N77" s="20" t="inlineStr">
        <is>
          <t>Field-expedient camouflage kits and poncho systems</t>
        </is>
      </c>
      <c r="O77" s="20" t="inlineStr">
        <is>
          <t>VIS / Optical; IR / Thermal</t>
        </is>
      </c>
      <c r="P77" s="20" t="inlineStr">
        <is>
          <t>Order</t>
        </is>
      </c>
      <c r="Q77" s="20" t="n"/>
      <c r="R77" s="20" t="inlineStr">
        <is>
          <t>Yes</t>
        </is>
      </c>
      <c r="S77" s="99" t="n"/>
      <c r="T77" s="20" t="inlineStr">
        <is>
          <t>Unknown</t>
        </is>
      </c>
      <c r="U77" s="20" t="n"/>
      <c r="V77" s="100" t="inlineStr">
        <is>
          <t>93830.0</t>
        </is>
      </c>
      <c r="W77" s="20" t="inlineStr">
        <is>
          <t>USD</t>
        </is>
      </c>
      <c r="X77" s="20" t="n"/>
      <c r="Y77" s="20" t="inlineStr">
        <is>
          <t>Obligated / signed if disclosed</t>
        </is>
      </c>
      <c r="Z77" s="20" t="inlineStr">
        <is>
          <t>No</t>
        </is>
      </c>
      <c r="AA77" s="20" t="inlineStr">
        <is>
          <t>Production Procurement</t>
        </is>
      </c>
      <c r="AB77" s="20" t="inlineStr">
        <is>
          <t>Land / Personnel (mixed)</t>
        </is>
      </c>
      <c r="AC77" s="20" t="inlineStr">
        <is>
          <t>Yes</t>
        </is>
      </c>
      <c r="AD77" s="20" t="str"/>
      <c r="AE77" s="20" t="inlineStr">
        <is>
          <t>https://www.highergov.com/contract/FA483024P0076/</t>
        </is>
      </c>
      <c r="AF77" s="20" t="inlineStr">
        <is>
          <t>Other credible third-party source (FPDS/SAM-derived)</t>
        </is>
      </c>
      <c r="AG77" s="20" t="inlineStr">
        <is>
          <t>Secondary / aggregator</t>
        </is>
      </c>
      <c r="AH77" s="20" t="inlineStr">
        <is>
          <t>High</t>
        </is>
      </c>
      <c r="AI77" s="20" t="inlineStr">
        <is>
          <t>Fixed-price purchase order for field-expedient camouflage kits and poncho systems. Included in land core because the procurement includes static/hide-site camouflage kits and is not aviation-only or soldier-only; mixed personnel component is disclosed.</t>
        </is>
      </c>
      <c r="AJ77" s="20" t="inlineStr">
        <is>
          <t>Yes</t>
        </is>
      </c>
      <c r="AK77" s="20" t="inlineStr">
        <is>
          <t>No</t>
        </is>
      </c>
      <c r="AL77" s="20" t="inlineStr">
        <is>
          <t>No</t>
        </is>
      </c>
      <c r="AM77" s="20" t="inlineStr">
        <is>
          <t>No</t>
        </is>
      </c>
      <c r="AN77" s="20" t="inlineStr">
        <is>
          <t>No</t>
        </is>
      </c>
      <c r="AO77" s="20" t="inlineStr">
        <is>
          <t>No</t>
        </is>
      </c>
      <c r="AP77" s="20" t="inlineStr">
        <is>
          <t>Included in Land core</t>
        </is>
      </c>
      <c r="AQ77" s="92" t="n">
        <v>1</v>
      </c>
      <c r="AR77" s="92" t="n">
        <v>1</v>
      </c>
      <c r="AS77" s="92" t="n">
        <v>0</v>
      </c>
      <c r="AT77" s="92" t="n">
        <v>1</v>
      </c>
      <c r="AU77" s="92" t="n">
        <v>0</v>
      </c>
      <c r="AV77" s="92" t="n">
        <v>1</v>
      </c>
      <c r="AW77" s="92" t="n">
        <v>0</v>
      </c>
    </row>
    <row r="78">
      <c r="A78" s="20" t="inlineStr">
        <is>
          <t>SM-0074</t>
        </is>
      </c>
      <c r="B78" s="20" t="inlineStr">
        <is>
          <t>ULCANS-IDV-W911QY18D0210</t>
        </is>
      </c>
      <c r="C78" s="98" t="inlineStr">
        <is>
          <t>2024-10-02</t>
        </is>
      </c>
      <c r="D78" s="92" t="n">
        <v>2024</v>
      </c>
      <c r="E78" s="20" t="inlineStr">
        <is>
          <t>United States</t>
        </is>
      </c>
      <c r="F78" s="20" t="inlineStr">
        <is>
          <t>U.S. Army PEO CSCSS</t>
        </is>
      </c>
      <c r="G78" s="20" t="inlineStr">
        <is>
          <t>U.S. Army</t>
        </is>
      </c>
      <c r="H78" s="20" t="inlineStr">
        <is>
          <t>Army / Land</t>
        </is>
      </c>
      <c r="I78" s="20" t="inlineStr">
        <is>
          <t>Fibrotex USA Inc. / Fibrotex Technologies</t>
        </is>
      </c>
      <c r="J78" s="20" t="inlineStr">
        <is>
          <t>Fibrotex</t>
        </is>
      </c>
      <c r="K78" s="20" t="inlineStr">
        <is>
          <t>Israel / USA</t>
        </is>
      </c>
      <c r="L78" s="20" t="inlineStr">
        <is>
          <t>MCS / BFV; ULCANS</t>
        </is>
      </c>
      <c r="M78" s="20" t="inlineStr">
        <is>
          <t>Vehicle Camouflage System</t>
        </is>
      </c>
      <c r="N78" s="20" t="inlineStr">
        <is>
          <t>Developmental mobile camouflage system for Bradley Fighting Vehicle</t>
        </is>
      </c>
      <c r="O78" s="20" t="inlineStr">
        <is>
          <t>Multispectral</t>
        </is>
      </c>
      <c r="P78" s="20" t="inlineStr">
        <is>
          <t>Funded Development</t>
        </is>
      </c>
      <c r="Q78" s="20" t="n"/>
      <c r="R78" s="20" t="inlineStr">
        <is>
          <t>No</t>
        </is>
      </c>
      <c r="S78" s="99" t="n"/>
      <c r="T78" s="20" t="inlineStr">
        <is>
          <t>Unknown</t>
        </is>
      </c>
      <c r="U78" s="20" t="n"/>
      <c r="V78" s="100" t="inlineStr">
        <is>
          <t>2395000.0</t>
        </is>
      </c>
      <c r="W78" s="20" t="inlineStr">
        <is>
          <t>USD</t>
        </is>
      </c>
      <c r="X78" s="20" t="n"/>
      <c r="Y78" s="20" t="inlineStr">
        <is>
          <t>Obligated / signed if disclosed</t>
        </is>
      </c>
      <c r="Z78" s="20" t="inlineStr">
        <is>
          <t>No</t>
        </is>
      </c>
      <c r="AA78" s="20" t="inlineStr">
        <is>
          <t>Development / Validation</t>
        </is>
      </c>
      <c r="AB78" s="20" t="inlineStr">
        <is>
          <t>Land</t>
        </is>
      </c>
      <c r="AC78" s="20" t="inlineStr">
        <is>
          <t>Yes</t>
        </is>
      </c>
      <c r="AD78" s="20" t="n"/>
      <c r="AE78" s="20" t="inlineStr">
        <is>
          <t>https://www.highergov.com/contract/W911QY18D0210-W911QY25F0001/</t>
        </is>
      </c>
      <c r="AF78" s="20" t="inlineStr">
        <is>
          <t>Other credible third-party source (FPDS/SAM-derived)</t>
        </is>
      </c>
      <c r="AG78" s="20" t="inlineStr">
        <is>
          <t>Secondary / aggregator</t>
        </is>
      </c>
      <c r="AH78" s="20" t="inlineStr">
        <is>
          <t>High</t>
        </is>
      </c>
      <c r="AI78" s="20" t="inlineStr">
        <is>
          <t>Distinct delivery/order event. Parent ULCANS IDIQ ceiling is not counted as sales; amendments are not separate events.</t>
        </is>
      </c>
      <c r="AJ78" s="20" t="inlineStr">
        <is>
          <t>Yes</t>
        </is>
      </c>
      <c r="AK78" s="20" t="inlineStr">
        <is>
          <t>Yes</t>
        </is>
      </c>
      <c r="AL78" s="20" t="inlineStr">
        <is>
          <t>No</t>
        </is>
      </c>
      <c r="AM78" s="20" t="inlineStr">
        <is>
          <t>No</t>
        </is>
      </c>
      <c r="AN78" s="20" t="inlineStr">
        <is>
          <t>No</t>
        </is>
      </c>
      <c r="AO78" s="20" t="inlineStr">
        <is>
          <t>Yes</t>
        </is>
      </c>
      <c r="AP78" s="20" t="inlineStr">
        <is>
          <t>Included in Land core</t>
        </is>
      </c>
      <c r="AQ78" s="92" t="n">
        <v>0</v>
      </c>
      <c r="AR78" s="92" t="n">
        <v>0</v>
      </c>
      <c r="AS78" s="92" t="n">
        <v>0</v>
      </c>
      <c r="AT78" s="92" t="n">
        <v>0</v>
      </c>
      <c r="AU78" s="92" t="n">
        <v>0</v>
      </c>
      <c r="AV78" s="92" t="n">
        <v>0</v>
      </c>
      <c r="AW78" s="92" t="n">
        <v>0</v>
      </c>
    </row>
    <row r="79">
      <c r="A79" s="20" t="inlineStr">
        <is>
          <t>SM-0075</t>
        </is>
      </c>
      <c r="B79" s="20" t="inlineStr">
        <is>
          <t>FR-HT4-2024</t>
        </is>
      </c>
      <c r="C79" s="98" t="inlineStr">
        <is>
          <t>2024-10-08</t>
        </is>
      </c>
      <c r="D79" s="92" t="n">
        <v>2024</v>
      </c>
      <c r="E79" s="20" t="inlineStr">
        <is>
          <t>France</t>
        </is>
      </c>
      <c r="F79" s="20" t="inlineStr">
        <is>
          <t>DGA / Defence Innovation Agency</t>
        </is>
      </c>
      <c r="G79" s="20" t="inlineStr">
        <is>
          <t>French DGA</t>
        </is>
      </c>
      <c r="H79" s="20" t="inlineStr">
        <is>
          <t>Army / Land</t>
        </is>
      </c>
      <c r="I79" s="20" t="inlineStr">
        <is>
          <t>PGM Précision / Kastinger (HT4)</t>
        </is>
      </c>
      <c r="J79" s="20" t="inlineStr">
        <is>
          <t>PGM Précision / Kastinger (HT4)</t>
        </is>
      </c>
      <c r="K79" s="20" t="inlineStr">
        <is>
          <t>Unknown</t>
        </is>
      </c>
      <c r="L79" s="20" t="inlineStr">
        <is>
          <t>Prix de l’Audace / AID label</t>
        </is>
      </c>
      <c r="M79" s="20" t="inlineStr">
        <is>
          <t>Land-force survival / adaptable use</t>
        </is>
      </c>
      <c r="N79" s="20" t="inlineStr">
        <is>
          <t>HT4 thermal fabric</t>
        </is>
      </c>
      <c r="O79" s="20" t="inlineStr">
        <is>
          <t>Thermal IR</t>
        </is>
      </c>
      <c r="P79" s="20" t="inlineStr">
        <is>
          <t>Evaluation / recognition</t>
        </is>
      </c>
      <c r="Q79" s="20" t="inlineStr">
        <is>
          <t>Validation</t>
        </is>
      </c>
      <c r="R79" s="20" t="inlineStr">
        <is>
          <t>No</t>
        </is>
      </c>
      <c r="S79" s="99" t="n"/>
      <c r="T79" s="20" t="inlineStr">
        <is>
          <t>Unknown</t>
        </is>
      </c>
      <c r="U79" s="20" t="inlineStr">
        <is>
          <t>Unknown</t>
        </is>
      </c>
      <c r="V79" s="100" t="n"/>
      <c r="W79" s="20" t="inlineStr">
        <is>
          <t>Unknown</t>
        </is>
      </c>
      <c r="X79" s="20" t="inlineStr">
        <is>
          <t>No procurement value</t>
        </is>
      </c>
      <c r="Y79" s="20" t="inlineStr">
        <is>
          <t>Obligated / signed if disclosed</t>
        </is>
      </c>
      <c r="Z79" s="20" t="inlineStr">
        <is>
          <t>No</t>
        </is>
      </c>
      <c r="AA79" s="20" t="inlineStr">
        <is>
          <t>Development / Validation</t>
        </is>
      </c>
      <c r="AB79" s="20" t="inlineStr">
        <is>
          <t>Land</t>
        </is>
      </c>
      <c r="AC79" s="20" t="inlineStr">
        <is>
          <t>Yes</t>
        </is>
      </c>
      <c r="AD79" s="20" t="n"/>
      <c r="AE79" s="20" t="inlineStr">
        <is>
          <t>https://www.defense.gouv.fr/dga/actualites/camouflage-thermique-adaptable-projet-laureat-dga-ledition-2024-du-prix-laudace</t>
        </is>
      </c>
      <c r="AF79" s="20" t="inlineStr">
        <is>
          <t>French Ministry of Armed Forces</t>
        </is>
      </c>
      <c r="AG79" s="20" t="inlineStr">
        <is>
          <t>Primary / official</t>
        </is>
      </c>
      <c r="AH79" s="20" t="inlineStr">
        <is>
          <t>Medium</t>
        </is>
      </c>
      <c r="AI79" s="20" t="inlineStr">
        <is>
          <t>A prize/label is not a purchase order.</t>
        </is>
      </c>
      <c r="AJ79" s="20" t="inlineStr">
        <is>
          <t>No</t>
        </is>
      </c>
      <c r="AK79" s="20" t="inlineStr">
        <is>
          <t>Yes</t>
        </is>
      </c>
      <c r="AL79" s="20" t="inlineStr">
        <is>
          <t>No</t>
        </is>
      </c>
      <c r="AM79" s="20" t="inlineStr">
        <is>
          <t>No</t>
        </is>
      </c>
      <c r="AN79" s="20" t="inlineStr">
        <is>
          <t>No</t>
        </is>
      </c>
      <c r="AO79" s="20" t="inlineStr">
        <is>
          <t>No</t>
        </is>
      </c>
      <c r="AP79" s="20" t="inlineStr">
        <is>
          <t>Included in Land core</t>
        </is>
      </c>
      <c r="AQ79" s="92" t="n">
        <v>1</v>
      </c>
      <c r="AR79" s="92" t="n">
        <v>0</v>
      </c>
      <c r="AS79" s="92" t="n">
        <v>1</v>
      </c>
      <c r="AT79" s="92" t="n">
        <v>0</v>
      </c>
      <c r="AU79" s="92" t="n">
        <v>0</v>
      </c>
      <c r="AV79" s="92" t="n">
        <v>1</v>
      </c>
      <c r="AW79" s="92" t="n">
        <v>0</v>
      </c>
    </row>
    <row r="80">
      <c r="A80" s="20" t="inlineStr">
        <is>
          <t>SM-0076</t>
        </is>
      </c>
      <c r="B80" s="20" t="inlineStr">
        <is>
          <t>BE-SEYNTEX-SIOEN-2024-25</t>
        </is>
      </c>
      <c r="C80" s="98" t="inlineStr">
        <is>
          <t>2024-11-22</t>
        </is>
      </c>
      <c r="D80" s="92" t="n">
        <v>2024</v>
      </c>
      <c r="E80" s="20" t="inlineStr">
        <is>
          <t>Belgium</t>
        </is>
      </c>
      <c r="F80" s="20" t="inlineStr">
        <is>
          <t>Belgian Ministry of Defence</t>
        </is>
      </c>
      <c r="G80" s="20" t="inlineStr">
        <is>
          <t>Belgian Ministry of Defence</t>
        </is>
      </c>
      <c r="H80" s="20" t="inlineStr">
        <is>
          <t>Defence / not disclosed</t>
        </is>
      </c>
      <c r="I80" s="20" t="inlineStr">
        <is>
          <t>Seyntex International NV</t>
        </is>
      </c>
      <c r="J80" s="20" t="inlineStr">
        <is>
          <t>Seyntex</t>
        </is>
      </c>
      <c r="K80" s="20" t="inlineStr">
        <is>
          <t>Belgium</t>
        </is>
      </c>
      <c r="L80" s="20" t="inlineStr">
        <is>
          <t>Multispectral camouflage nets framework</t>
        </is>
      </c>
      <c r="M80" s="20" t="inlineStr">
        <is>
          <t>Nets / Covers</t>
        </is>
      </c>
      <c r="N80" s="20" t="inlineStr">
        <is>
          <t>Multispectral camouflage nets</t>
        </is>
      </c>
      <c r="O80" s="20" t="inlineStr">
        <is>
          <t>Multispectral</t>
        </is>
      </c>
      <c r="P80" s="20" t="inlineStr">
        <is>
          <t>Other</t>
        </is>
      </c>
      <c r="Q80" s="20" t="n"/>
      <c r="R80" s="20" t="inlineStr">
        <is>
          <t>No</t>
        </is>
      </c>
      <c r="S80" s="99" t="n"/>
      <c r="T80" s="20" t="inlineStr">
        <is>
          <t>Unknown</t>
        </is>
      </c>
      <c r="U80" s="20" t="n"/>
      <c r="V80" s="100" t="n"/>
      <c r="W80" s="20" t="n"/>
      <c r="X80" s="20" t="n"/>
      <c r="Y80" s="20" t="inlineStr">
        <is>
          <t>Obligated / signed if disclosed</t>
        </is>
      </c>
      <c r="Z80" s="20" t="inlineStr">
        <is>
          <t>No</t>
        </is>
      </c>
      <c r="AA80" s="20" t="inlineStr">
        <is>
          <t>Other public event</t>
        </is>
      </c>
      <c r="AB80" s="20" t="inlineStr">
        <is>
          <t>Land</t>
        </is>
      </c>
      <c r="AC80" s="20" t="inlineStr">
        <is>
          <t>Yes</t>
        </is>
      </c>
      <c r="AD80" s="20" t="n"/>
      <c r="AE80" s="20" t="inlineStr">
        <is>
          <t>https://news.belgium.be/nl/overheidsopdrachten-voor-defensie-106</t>
        </is>
      </c>
      <c r="AF80" s="20" t="inlineStr">
        <is>
          <t>Official government / MOD procurement source</t>
        </is>
      </c>
      <c r="AG80" s="20" t="inlineStr">
        <is>
          <t>Primary / official</t>
        </is>
      </c>
      <c r="AH80" s="20" t="inlineStr">
        <is>
          <t>High</t>
        </is>
      </c>
      <c r="AI80" s="20" t="inlineStr">
        <is>
          <t>Pre-award procurement milestone, not a commercial sale.</t>
        </is>
      </c>
      <c r="AJ80" s="20" t="inlineStr">
        <is>
          <t>Yes</t>
        </is>
      </c>
      <c r="AK80" s="20" t="inlineStr">
        <is>
          <t>No</t>
        </is>
      </c>
      <c r="AL80" s="20" t="inlineStr">
        <is>
          <t>No</t>
        </is>
      </c>
      <c r="AM80" s="20" t="inlineStr">
        <is>
          <t>No</t>
        </is>
      </c>
      <c r="AN80" s="20" t="inlineStr">
        <is>
          <t>No</t>
        </is>
      </c>
      <c r="AO80" s="20" t="inlineStr">
        <is>
          <t>Yes</t>
        </is>
      </c>
      <c r="AP80" s="20" t="inlineStr">
        <is>
          <t>Included in Land core</t>
        </is>
      </c>
      <c r="AQ80" s="92" t="n">
        <v>1</v>
      </c>
      <c r="AR80" s="92" t="n">
        <v>0</v>
      </c>
      <c r="AS80" s="92" t="n">
        <v>1</v>
      </c>
      <c r="AT80" s="92" t="n">
        <v>1</v>
      </c>
      <c r="AU80" s="92" t="n">
        <v>1</v>
      </c>
      <c r="AV80" s="92" t="n">
        <v>1</v>
      </c>
      <c r="AW80" s="92" t="n">
        <v>0</v>
      </c>
    </row>
    <row r="81">
      <c r="A81" s="20" t="inlineStr">
        <is>
          <t>SM-0077</t>
        </is>
      </c>
      <c r="B81" s="20" t="inlineStr">
        <is>
          <t>USN-MAST-RAM-TILES</t>
        </is>
      </c>
      <c r="C81" s="98" t="inlineStr">
        <is>
          <t>2024-12-19</t>
        </is>
      </c>
      <c r="D81" s="92" t="n">
        <v>2024</v>
      </c>
      <c r="E81" s="20" t="inlineStr">
        <is>
          <t>United States</t>
        </is>
      </c>
      <c r="F81" s="20" t="inlineStr">
        <is>
          <t>NAVSUP WSS / U.S. Navy</t>
        </is>
      </c>
      <c r="G81" s="20" t="inlineStr">
        <is>
          <t>U.S. Navy</t>
        </is>
      </c>
      <c r="H81" s="20" t="inlineStr">
        <is>
          <t>Navy</t>
        </is>
      </c>
      <c r="I81" s="20" t="inlineStr">
        <is>
          <t>MAST Technologies, Inc.</t>
        </is>
      </c>
      <c r="J81" s="20" t="inlineStr">
        <is>
          <t>MAST Technologies</t>
        </is>
      </c>
      <c r="K81" s="20" t="inlineStr">
        <is>
          <t>USA</t>
        </is>
      </c>
      <c r="L81" s="20" t="inlineStr">
        <is>
          <t>N0010425PUA34</t>
        </is>
      </c>
      <c r="M81" s="20" t="inlineStr">
        <is>
          <t>RAM / Composite</t>
        </is>
      </c>
      <c r="N81" s="20" t="inlineStr">
        <is>
          <t>Rubber tile / PSC 5840 radar equipment</t>
        </is>
      </c>
      <c r="O81" s="20" t="inlineStr">
        <is>
          <t>Radar / RCS</t>
        </is>
      </c>
      <c r="P81" s="20" t="inlineStr">
        <is>
          <t>Order</t>
        </is>
      </c>
      <c r="Q81" s="20" t="n"/>
      <c r="R81" s="20" t="inlineStr">
        <is>
          <t>Yes</t>
        </is>
      </c>
      <c r="S81" s="99" t="n"/>
      <c r="T81" s="20" t="inlineStr">
        <is>
          <t>Unknown</t>
        </is>
      </c>
      <c r="U81" s="20" t="n"/>
      <c r="V81" s="100" t="inlineStr">
        <is>
          <t>391500.0</t>
        </is>
      </c>
      <c r="W81" s="20" t="inlineStr">
        <is>
          <t>USD</t>
        </is>
      </c>
      <c r="X81" s="20" t="n"/>
      <c r="Y81" s="20" t="inlineStr">
        <is>
          <t>Obligated / signed if disclosed</t>
        </is>
      </c>
      <c r="Z81" s="20" t="inlineStr">
        <is>
          <t>No</t>
        </is>
      </c>
      <c r="AA81" s="20" t="inlineStr">
        <is>
          <t>Production Procurement</t>
        </is>
      </c>
      <c r="AB81" s="20" t="inlineStr">
        <is>
          <t>Maritime</t>
        </is>
      </c>
      <c r="AC81" s="20" t="inlineStr">
        <is>
          <t>No</t>
        </is>
      </c>
      <c r="AD81" s="20" t="inlineStr">
        <is>
          <t>Maritime/contextual</t>
        </is>
      </c>
      <c r="AE81" s="20" t="inlineStr">
        <is>
          <t>https://www.highergov.com/contract/N0010425PUA34/</t>
        </is>
      </c>
      <c r="AF81" s="20" t="inlineStr">
        <is>
          <t>Other credible third-party source (FPDS/SAM-derived)</t>
        </is>
      </c>
      <c r="AG81" s="20" t="inlineStr">
        <is>
          <t>Secondary / aggregator</t>
        </is>
      </c>
      <c r="AH81" s="20" t="inlineStr">
        <is>
          <t>Medium</t>
        </is>
      </c>
      <c r="AI81" s="20" t="inlineStr">
        <is>
          <t>Distinct orders; linked as a recurring Navy RAM-tile procurement family.</t>
        </is>
      </c>
      <c r="AJ81" s="20" t="inlineStr">
        <is>
          <t>Yes</t>
        </is>
      </c>
      <c r="AK81" s="20" t="inlineStr">
        <is>
          <t>No</t>
        </is>
      </c>
      <c r="AL81" s="20" t="inlineStr">
        <is>
          <t>No</t>
        </is>
      </c>
      <c r="AM81" s="20" t="inlineStr">
        <is>
          <t>No</t>
        </is>
      </c>
      <c r="AN81" s="20" t="inlineStr">
        <is>
          <t>No</t>
        </is>
      </c>
      <c r="AO81" s="20" t="inlineStr">
        <is>
          <t>Yes</t>
        </is>
      </c>
      <c r="AP81" s="20" t="inlineStr">
        <is>
          <t>Retained as contextual; excluded from Land core</t>
        </is>
      </c>
      <c r="AQ81" s="92" t="n">
        <v>0</v>
      </c>
      <c r="AR81" s="92" t="n">
        <v>0</v>
      </c>
      <c r="AS81" s="92" t="n">
        <v>0</v>
      </c>
      <c r="AT81" s="92" t="n">
        <v>0</v>
      </c>
      <c r="AU81" s="92" t="n">
        <v>0</v>
      </c>
      <c r="AV81" s="92" t="n">
        <v>0</v>
      </c>
      <c r="AW81" s="92" t="n">
        <v>0</v>
      </c>
    </row>
    <row r="82">
      <c r="A82" s="20" t="inlineStr">
        <is>
          <t>SM-0078</t>
        </is>
      </c>
      <c r="B82" s="20" t="inlineStr">
        <is>
          <t>USN-MAST-RAM-TILES</t>
        </is>
      </c>
      <c r="C82" s="98" t="inlineStr">
        <is>
          <t>2024-12-20</t>
        </is>
      </c>
      <c r="D82" s="92" t="n">
        <v>2024</v>
      </c>
      <c r="E82" s="20" t="inlineStr">
        <is>
          <t>United States</t>
        </is>
      </c>
      <c r="F82" s="20" t="inlineStr">
        <is>
          <t>NAVSUP WSS / U.S. Navy</t>
        </is>
      </c>
      <c r="G82" s="20" t="inlineStr">
        <is>
          <t>U.S. Navy</t>
        </is>
      </c>
      <c r="H82" s="20" t="inlineStr">
        <is>
          <t>Navy</t>
        </is>
      </c>
      <c r="I82" s="20" t="inlineStr">
        <is>
          <t>MAST Technologies, Inc.</t>
        </is>
      </c>
      <c r="J82" s="20" t="inlineStr">
        <is>
          <t>MAST Technologies</t>
        </is>
      </c>
      <c r="K82" s="20" t="inlineStr">
        <is>
          <t>USA</t>
        </is>
      </c>
      <c r="L82" s="20" t="inlineStr">
        <is>
          <t>N0010425CUA01</t>
        </is>
      </c>
      <c r="M82" s="20" t="inlineStr">
        <is>
          <t>RAM / Composite</t>
        </is>
      </c>
      <c r="N82" s="20" t="inlineStr">
        <is>
          <t>Rubber tile</t>
        </is>
      </c>
      <c r="O82" s="20" t="inlineStr">
        <is>
          <t>Radar / RCS</t>
        </is>
      </c>
      <c r="P82" s="20" t="inlineStr">
        <is>
          <t>Contract Award</t>
        </is>
      </c>
      <c r="Q82" s="20" t="n"/>
      <c r="R82" s="20" t="inlineStr">
        <is>
          <t>Yes</t>
        </is>
      </c>
      <c r="S82" s="99" t="n"/>
      <c r="T82" s="20" t="inlineStr">
        <is>
          <t>Unknown</t>
        </is>
      </c>
      <c r="U82" s="20" t="n"/>
      <c r="V82" s="100" t="inlineStr">
        <is>
          <t>2000000.0</t>
        </is>
      </c>
      <c r="W82" s="20" t="inlineStr">
        <is>
          <t>USD</t>
        </is>
      </c>
      <c r="X82" s="20" t="n"/>
      <c r="Y82" s="20" t="inlineStr">
        <is>
          <t>Obligated / signed if disclosed</t>
        </is>
      </c>
      <c r="Z82" s="20" t="inlineStr">
        <is>
          <t>No</t>
        </is>
      </c>
      <c r="AA82" s="20" t="inlineStr">
        <is>
          <t>Production Procurement</t>
        </is>
      </c>
      <c r="AB82" s="20" t="inlineStr">
        <is>
          <t>Maritime</t>
        </is>
      </c>
      <c r="AC82" s="20" t="inlineStr">
        <is>
          <t>No</t>
        </is>
      </c>
      <c r="AD82" s="20" t="inlineStr">
        <is>
          <t>Maritime/contextual</t>
        </is>
      </c>
      <c r="AE82" s="20" t="inlineStr">
        <is>
          <t>https://www.federalcompass.com/fed-contract-award/N0010425CUA01</t>
        </is>
      </c>
      <c r="AF82" s="20" t="inlineStr">
        <is>
          <t>Other credible third-party source (FPDS/SAM-derived)</t>
        </is>
      </c>
      <c r="AG82" s="20" t="inlineStr">
        <is>
          <t>Secondary / aggregator</t>
        </is>
      </c>
      <c r="AH82" s="20" t="inlineStr">
        <is>
          <t>Medium</t>
        </is>
      </c>
      <c r="AI82" s="20" t="inlineStr">
        <is>
          <t>Distinct orders; linked as a recurring Navy RAM-tile procurement family.</t>
        </is>
      </c>
      <c r="AJ82" s="20" t="inlineStr">
        <is>
          <t>Yes</t>
        </is>
      </c>
      <c r="AK82" s="20" t="inlineStr">
        <is>
          <t>No</t>
        </is>
      </c>
      <c r="AL82" s="20" t="inlineStr">
        <is>
          <t>No</t>
        </is>
      </c>
      <c r="AM82" s="20" t="inlineStr">
        <is>
          <t>No</t>
        </is>
      </c>
      <c r="AN82" s="20" t="inlineStr">
        <is>
          <t>No</t>
        </is>
      </c>
      <c r="AO82" s="20" t="inlineStr">
        <is>
          <t>Yes</t>
        </is>
      </c>
      <c r="AP82" s="20" t="inlineStr">
        <is>
          <t>Retained as contextual; excluded from Land core</t>
        </is>
      </c>
      <c r="AQ82" s="92" t="n">
        <v>0</v>
      </c>
      <c r="AR82" s="92" t="n">
        <v>0</v>
      </c>
      <c r="AS82" s="92" t="n">
        <v>0</v>
      </c>
      <c r="AT82" s="92" t="n">
        <v>0</v>
      </c>
      <c r="AU82" s="92" t="n">
        <v>0</v>
      </c>
      <c r="AV82" s="92" t="n">
        <v>0</v>
      </c>
      <c r="AW82" s="92" t="n">
        <v>0</v>
      </c>
    </row>
    <row r="83">
      <c r="A83" s="20" t="inlineStr">
        <is>
          <t>SM-0079</t>
        </is>
      </c>
      <c r="B83" s="20" t="inlineStr">
        <is>
          <t>JP-MEDS</t>
        </is>
      </c>
      <c r="C83" s="98" t="n"/>
      <c r="D83" s="92" t="n">
        <v>2024</v>
      </c>
      <c r="E83" s="20" t="inlineStr">
        <is>
          <t>Japan</t>
        </is>
      </c>
      <c r="F83" s="20" t="inlineStr">
        <is>
          <t>Japan Ground Self-Defense Force</t>
        </is>
      </c>
      <c r="G83" s="20" t="inlineStr">
        <is>
          <t>Japan MOD / JGSDF</t>
        </is>
      </c>
      <c r="H83" s="20" t="inlineStr">
        <is>
          <t>Army / Land</t>
        </is>
      </c>
      <c r="I83" s="20" t="inlineStr">
        <is>
          <t>Fibrotex</t>
        </is>
      </c>
      <c r="J83" s="20" t="inlineStr">
        <is>
          <t>NAS / Fibrotex programme team</t>
        </is>
      </c>
      <c r="K83" s="20" t="inlineStr">
        <is>
          <t>Israel / USA</t>
        </is>
      </c>
      <c r="L83" s="20" t="inlineStr">
        <is>
          <t>Multiple Electromagnetic Disguise Net Set (MEDS)</t>
        </is>
      </c>
      <c r="M83" s="20" t="inlineStr">
        <is>
          <t>Static land systems</t>
        </is>
      </c>
      <c r="N83" s="20" t="inlineStr">
        <is>
          <t>Custom multispectral camouflage nets</t>
        </is>
      </c>
      <c r="O83" s="20" t="inlineStr">
        <is>
          <t>Multispectral</t>
        </is>
      </c>
      <c r="P83" s="20" t="inlineStr">
        <is>
          <t>Programme scale report</t>
        </is>
      </c>
      <c r="Q83" s="20" t="inlineStr">
        <is>
          <t>Programme / fielding context</t>
        </is>
      </c>
      <c r="R83" s="20" t="inlineStr">
        <is>
          <t>No</t>
        </is>
      </c>
      <c r="S83" s="99" t="n"/>
      <c r="T83" s="20" t="inlineStr">
        <is>
          <t>Unknown</t>
        </is>
      </c>
      <c r="U83" s="20" t="inlineStr">
        <is>
          <t>Reported programme scale only — 26,000 basis unresolved</t>
        </is>
      </c>
      <c r="V83" s="100" t="n"/>
      <c r="W83" s="20" t="inlineStr">
        <is>
          <t>Unknown</t>
        </is>
      </c>
      <c r="X83" s="20" t="inlineStr">
        <is>
          <t>Value undisclosed</t>
        </is>
      </c>
      <c r="Y83" s="20" t="inlineStr">
        <is>
          <t>Obligated / signed if disclosed</t>
        </is>
      </c>
      <c r="Z83" s="20" t="inlineStr">
        <is>
          <t>No</t>
        </is>
      </c>
      <c r="AA83" s="20" t="inlineStr">
        <is>
          <t>Delivery / Programme Milestone</t>
        </is>
      </c>
      <c r="AB83" s="20" t="inlineStr">
        <is>
          <t>Land</t>
        </is>
      </c>
      <c r="AC83" s="20" t="inlineStr">
        <is>
          <t>No</t>
        </is>
      </c>
      <c r="AD83" s="20" t="inlineStr">
        <is>
          <t>Aggregate programme-scale report; not a distinct dated procurement lifecycle milestone</t>
        </is>
      </c>
      <c r="AE83" s="20" t="inlineStr">
        <is>
          <t>https://euro-sd.com/2025/05/major-news/44499/nas-new-camo-nets-for-jgsdf/</t>
        </is>
      </c>
      <c r="AF83" s="20" t="inlineStr">
        <is>
          <t>Reputable defence trade press</t>
        </is>
      </c>
      <c r="AG83" s="20" t="inlineStr">
        <is>
          <t>Supplier / prime announcement</t>
        </is>
      </c>
      <c r="AH83" s="20" t="inlineStr">
        <is>
          <t>Medium</t>
        </is>
      </c>
      <c r="AI83" s="20" t="inlineStr">
        <is>
          <t>Reported 26,000-system programme scale remains contextual only. Basis is unresolved and is not counted as an event/order quantity or contracted units.</t>
        </is>
      </c>
      <c r="AJ83" s="20" t="inlineStr">
        <is>
          <t>No</t>
        </is>
      </c>
      <c r="AK83" s="20" t="inlineStr">
        <is>
          <t>Yes</t>
        </is>
      </c>
      <c r="AL83" s="20" t="inlineStr">
        <is>
          <t>No</t>
        </is>
      </c>
      <c r="AM83" s="20" t="inlineStr">
        <is>
          <t>No</t>
        </is>
      </c>
      <c r="AN83" s="20" t="inlineStr">
        <is>
          <t>No</t>
        </is>
      </c>
      <c r="AO83" s="20" t="inlineStr">
        <is>
          <t>Yes</t>
        </is>
      </c>
      <c r="AP83" s="20" t="inlineStr">
        <is>
          <t>Retained as contextual; excluded from Land core</t>
        </is>
      </c>
      <c r="AQ83" s="92" t="n">
        <v>0</v>
      </c>
      <c r="AR83" s="92" t="n">
        <v>0</v>
      </c>
      <c r="AS83" s="92" t="n">
        <v>0</v>
      </c>
      <c r="AT83" s="92" t="n">
        <v>0</v>
      </c>
      <c r="AU83" s="92" t="n">
        <v>0</v>
      </c>
      <c r="AV83" s="92" t="n">
        <v>0</v>
      </c>
      <c r="AW83" s="92" t="n">
        <v>0</v>
      </c>
    </row>
    <row r="84">
      <c r="A84" s="20" t="inlineStr">
        <is>
          <t>SM-0080</t>
        </is>
      </c>
      <c r="B84" s="20" t="inlineStr">
        <is>
          <t>IN-GEM-5756973</t>
        </is>
      </c>
      <c r="C84" s="98" t="inlineStr">
        <is>
          <t>2025-01-08</t>
        </is>
      </c>
      <c r="D84" s="92" t="n">
        <v>2025</v>
      </c>
      <c r="E84" s="20" t="inlineStr">
        <is>
          <t>India</t>
        </is>
      </c>
      <c r="F84" s="20" t="inlineStr">
        <is>
          <t>Indian Army / Department of Military Affairs</t>
        </is>
      </c>
      <c r="G84" s="20" t="inlineStr">
        <is>
          <t>Indian Army / Department of Military Affairs</t>
        </is>
      </c>
      <c r="H84" s="20" t="inlineStr">
        <is>
          <t>Army / Land</t>
        </is>
      </c>
      <c r="I84" s="20" t="inlineStr">
        <is>
          <t>Sterlite Camotech</t>
        </is>
      </c>
      <c r="J84" s="20" t="inlineStr">
        <is>
          <t>Sterlite Camotech</t>
        </is>
      </c>
      <c r="K84" s="20" t="inlineStr">
        <is>
          <t>India</t>
        </is>
      </c>
      <c r="L84" s="20" t="inlineStr">
        <is>
          <t>GeM GEM/2024/B/5756973</t>
        </is>
      </c>
      <c r="M84" s="20" t="inlineStr">
        <is>
          <t>Static/mobile land forces</t>
        </is>
      </c>
      <c r="N84" s="20" t="inlineStr">
        <is>
          <t>Multispectral Camouflage Nets (MSCN)</t>
        </is>
      </c>
      <c r="O84" s="20" t="inlineStr">
        <is>
          <t>Multispectral</t>
        </is>
      </c>
      <c r="P84" s="20" t="inlineStr">
        <is>
          <t>Tender / solicitation</t>
        </is>
      </c>
      <c r="Q84" s="20" t="inlineStr">
        <is>
          <t>Tender</t>
        </is>
      </c>
      <c r="R84" s="20" t="inlineStr">
        <is>
          <t>No</t>
        </is>
      </c>
      <c r="S84" s="99" t="inlineStr">
        <is>
          <t>1622</t>
        </is>
      </c>
      <c r="T84" s="20" t="inlineStr">
        <is>
          <t>units</t>
        </is>
      </c>
      <c r="U84" s="20" t="inlineStr">
        <is>
          <t>Tender quantity</t>
        </is>
      </c>
      <c r="V84" s="100" t="n"/>
      <c r="W84" s="20" t="inlineStr">
        <is>
          <t>INR</t>
        </is>
      </c>
      <c r="X84" s="20" t="inlineStr">
        <is>
          <t>Tender stage</t>
        </is>
      </c>
      <c r="Y84" s="20" t="inlineStr">
        <is>
          <t>Obligated / signed if disclosed</t>
        </is>
      </c>
      <c r="Z84" s="20" t="inlineStr">
        <is>
          <t>No</t>
        </is>
      </c>
      <c r="AA84" s="20" t="inlineStr">
        <is>
          <t>Demand</t>
        </is>
      </c>
      <c r="AB84" s="20" t="inlineStr">
        <is>
          <t>Land</t>
        </is>
      </c>
      <c r="AC84" s="20" t="inlineStr">
        <is>
          <t>Yes</t>
        </is>
      </c>
      <c r="AD84" s="20" t="n"/>
      <c r="AE84" s="20" t="inlineStr">
        <is>
          <t>https://bidplus.gem.gov.in/showbidDocument/7305779</t>
        </is>
      </c>
      <c r="AF84" s="20" t="inlineStr">
        <is>
          <t>Official GeM bid document</t>
        </is>
      </c>
      <c r="AG84" s="20" t="inlineStr">
        <is>
          <t>Primary / official</t>
        </is>
      </c>
      <c r="AH84" s="20" t="inlineStr">
        <is>
          <t>Medium</t>
        </is>
      </c>
      <c r="AI84" s="20" t="inlineStr">
        <is>
          <t>Initial bid document date; later extensions occurred. Quantity is demand, not delivery.</t>
        </is>
      </c>
      <c r="AJ84" s="20" t="inlineStr">
        <is>
          <t>No</t>
        </is>
      </c>
      <c r="AK84" s="20" t="inlineStr">
        <is>
          <t>Yes</t>
        </is>
      </c>
      <c r="AL84" s="20" t="inlineStr">
        <is>
          <t>No</t>
        </is>
      </c>
      <c r="AM84" s="20" t="inlineStr">
        <is>
          <t>No</t>
        </is>
      </c>
      <c r="AN84" s="20" t="inlineStr">
        <is>
          <t>No</t>
        </is>
      </c>
      <c r="AO84" s="20" t="inlineStr">
        <is>
          <t>No</t>
        </is>
      </c>
      <c r="AP84" s="20" t="inlineStr">
        <is>
          <t>Included in Land core</t>
        </is>
      </c>
      <c r="AQ84" s="92" t="n">
        <v>1</v>
      </c>
      <c r="AR84" s="92" t="n">
        <v>0</v>
      </c>
      <c r="AS84" s="92" t="n">
        <v>1</v>
      </c>
      <c r="AT84" s="92" t="n">
        <v>1</v>
      </c>
      <c r="AU84" s="92" t="n">
        <v>1</v>
      </c>
      <c r="AV84" s="92" t="n">
        <v>1</v>
      </c>
      <c r="AW84" s="92" t="n">
        <v>0</v>
      </c>
    </row>
    <row r="85">
      <c r="A85" s="20" t="inlineStr">
        <is>
          <t>SM-0081</t>
        </is>
      </c>
      <c r="B85" s="20" t="inlineStr">
        <is>
          <t>DK-SAAB-MCS-IKK</t>
        </is>
      </c>
      <c r="C85" s="98" t="inlineStr">
        <is>
          <t>2025-02-03</t>
        </is>
      </c>
      <c r="D85" s="92" t="n">
        <v>2025</v>
      </c>
      <c r="E85" s="20" t="inlineStr">
        <is>
          <t>Denmark</t>
        </is>
      </c>
      <c r="F85" s="20" t="inlineStr">
        <is>
          <t>Danish Defence / FMI</t>
        </is>
      </c>
      <c r="G85" s="20" t="inlineStr">
        <is>
          <t>Danish FMI / Army</t>
        </is>
      </c>
      <c r="H85" s="20" t="inlineStr">
        <is>
          <t>Defence / not disclosed</t>
        </is>
      </c>
      <c r="I85" s="20" t="inlineStr">
        <is>
          <t>Saab Barracuda AB</t>
        </is>
      </c>
      <c r="J85" s="20" t="inlineStr">
        <is>
          <t>Saab Barracuda</t>
        </is>
      </c>
      <c r="K85" s="20" t="inlineStr">
        <is>
          <t>Sweden</t>
        </is>
      </c>
      <c r="L85" s="20" t="inlineStr">
        <is>
          <t>Danish infantry fighting vehicle camouflage fielding</t>
        </is>
      </c>
      <c r="M85" s="20" t="inlineStr">
        <is>
          <t>Infantry fighting vehicle</t>
        </is>
      </c>
      <c r="N85" s="20" t="inlineStr">
        <is>
          <t>Mobile Camouflage System installed on IKK infantry fighting vehicles</t>
        </is>
      </c>
      <c r="O85" s="20" t="inlineStr">
        <is>
          <t>Multispectral / sensor signature reduction</t>
        </is>
      </c>
      <c r="P85" s="20" t="inlineStr">
        <is>
          <t>Delivery / fielding</t>
        </is>
      </c>
      <c r="Q85" s="20" t="inlineStr">
        <is>
          <t>Fielding</t>
        </is>
      </c>
      <c r="R85" s="20" t="inlineStr">
        <is>
          <t>No</t>
        </is>
      </c>
      <c r="S85" s="99" t="n"/>
      <c r="T85" s="20" t="inlineStr">
        <is>
          <t>Unknown</t>
        </is>
      </c>
      <c r="U85" s="20" t="n"/>
      <c r="V85" s="100" t="inlineStr">
        <is>
          <t>Not disclosed</t>
        </is>
      </c>
      <c r="W85" s="20" t="n"/>
      <c r="X85" s="20" t="n"/>
      <c r="Y85" s="20" t="inlineStr">
        <is>
          <t>Obligated / signed if disclosed</t>
        </is>
      </c>
      <c r="Z85" s="20" t="inlineStr">
        <is>
          <t>No</t>
        </is>
      </c>
      <c r="AA85" s="20" t="inlineStr">
        <is>
          <t>Delivery / Programme Milestone</t>
        </is>
      </c>
      <c r="AB85" s="20" t="inlineStr">
        <is>
          <t>Land</t>
        </is>
      </c>
      <c r="AC85" s="20" t="inlineStr">
        <is>
          <t>Yes</t>
        </is>
      </c>
      <c r="AD85" s="20" t="n"/>
      <c r="AE85" s="20" t="inlineStr">
        <is>
          <t>https://www.fmi.dk/da/nyheder/2025/det-forste-lag-af-sikkerhed-ny-sloring-monteret-pa-ikker/</t>
        </is>
      </c>
      <c r="AF85" s="20" t="inlineStr">
        <is>
          <t>Official Danish defence customer</t>
        </is>
      </c>
      <c r="AG85" s="20" t="inlineStr">
        <is>
          <t>Secondary / aggregator</t>
        </is>
      </c>
      <c r="AH85" s="20" t="inlineStr">
        <is>
          <t>High</t>
        </is>
      </c>
      <c r="AI85" s="20" t="inlineStr">
        <is>
          <t>Counts as commercial/fielding milestone, not as a new order without contract evidence.</t>
        </is>
      </c>
      <c r="AJ85" s="20" t="inlineStr">
        <is>
          <t>No</t>
        </is>
      </c>
      <c r="AK85" s="20" t="inlineStr">
        <is>
          <t>No</t>
        </is>
      </c>
      <c r="AL85" s="20" t="inlineStr">
        <is>
          <t>Yes</t>
        </is>
      </c>
      <c r="AM85" s="20" t="inlineStr">
        <is>
          <t>No</t>
        </is>
      </c>
      <c r="AN85" s="20" t="inlineStr">
        <is>
          <t>No</t>
        </is>
      </c>
      <c r="AO85" s="20" t="inlineStr">
        <is>
          <t>No</t>
        </is>
      </c>
      <c r="AP85" s="20" t="inlineStr">
        <is>
          <t>Included in Land core</t>
        </is>
      </c>
      <c r="AQ85" s="92" t="n">
        <v>1</v>
      </c>
      <c r="AR85" s="92" t="n">
        <v>0</v>
      </c>
      <c r="AS85" s="92" t="n">
        <v>1</v>
      </c>
      <c r="AT85" s="92" t="n">
        <v>1</v>
      </c>
      <c r="AU85" s="92" t="n">
        <v>1</v>
      </c>
      <c r="AV85" s="92" t="n">
        <v>1</v>
      </c>
      <c r="AW85" s="92" t="n">
        <v>0</v>
      </c>
    </row>
    <row r="86">
      <c r="A86" s="20" t="inlineStr">
        <is>
          <t>SM-0082</t>
        </is>
      </c>
      <c r="B86" s="20" t="inlineStr">
        <is>
          <t>JP-MEDS</t>
        </is>
      </c>
      <c r="C86" s="98" t="inlineStr">
        <is>
          <t>2025-02-21</t>
        </is>
      </c>
      <c r="D86" s="92" t="n">
        <v>2025</v>
      </c>
      <c r="E86" s="20" t="inlineStr">
        <is>
          <t>Japan</t>
        </is>
      </c>
      <c r="F86" s="20" t="inlineStr">
        <is>
          <t>JGSDF Narashino Garrison</t>
        </is>
      </c>
      <c r="G86" s="20" t="inlineStr">
        <is>
          <t>Japan MOD / JGSDF</t>
        </is>
      </c>
      <c r="H86" s="20" t="inlineStr">
        <is>
          <t>Army / Land</t>
        </is>
      </c>
      <c r="I86" s="20" t="inlineStr">
        <is>
          <t>Supplier not disclosed</t>
        </is>
      </c>
      <c r="J86" s="20" t="inlineStr">
        <is>
          <t>NAS / Fibrotex programme team</t>
        </is>
      </c>
      <c r="K86" s="20" t="inlineStr">
        <is>
          <t>Unknown</t>
        </is>
      </c>
      <c r="L86" s="20" t="inlineStr">
        <is>
          <t>MEDS / multiple electromagnetic-wave camouflage net</t>
        </is>
      </c>
      <c r="M86" s="20" t="inlineStr">
        <is>
          <t>JGSDF land</t>
        </is>
      </c>
      <c r="N86" s="20" t="inlineStr">
        <is>
          <t>Multiple electromagnetic-wave camouflage net</t>
        </is>
      </c>
      <c r="O86" s="20" t="inlineStr">
        <is>
          <t>Multispectral</t>
        </is>
      </c>
      <c r="P86" s="20" t="inlineStr">
        <is>
          <t>Tender</t>
        </is>
      </c>
      <c r="Q86" s="20" t="inlineStr">
        <is>
          <t>Tender</t>
        </is>
      </c>
      <c r="R86" s="20" t="inlineStr">
        <is>
          <t>No</t>
        </is>
      </c>
      <c r="S86" s="99" t="inlineStr">
        <is>
          <t>300</t>
        </is>
      </c>
      <c r="T86" s="20" t="inlineStr">
        <is>
          <t>units</t>
        </is>
      </c>
      <c r="U86" s="20" t="inlineStr">
        <is>
          <t>Tender quantity; not an order</t>
        </is>
      </c>
      <c r="V86" s="100" t="n"/>
      <c r="W86" s="20" t="n"/>
      <c r="X86" s="20" t="inlineStr">
        <is>
          <t>Tender stage</t>
        </is>
      </c>
      <c r="Y86" s="20" t="inlineStr">
        <is>
          <t>Obligated / signed if disclosed</t>
        </is>
      </c>
      <c r="Z86" s="20" t="inlineStr">
        <is>
          <t>No</t>
        </is>
      </c>
      <c r="AA86" s="20" t="inlineStr">
        <is>
          <t>Demand</t>
        </is>
      </c>
      <c r="AB86" s="20" t="inlineStr">
        <is>
          <t>Land</t>
        </is>
      </c>
      <c r="AC86" s="20" t="inlineStr">
        <is>
          <t>Yes</t>
        </is>
      </c>
      <c r="AD86" s="20" t="n"/>
      <c r="AE86" s="20" t="inlineStr">
        <is>
          <t>https://www2.njss.info/offers/view/31089831</t>
        </is>
      </c>
      <c r="AF86" s="20" t="inlineStr">
        <is>
          <t>Japanese procurement aggregator referencing JGSDF notice</t>
        </is>
      </c>
      <c r="AG86" s="20" t="inlineStr">
        <is>
          <t>Secondary / aggregator</t>
        </is>
      </c>
      <c r="AH86" s="20" t="inlineStr">
        <is>
          <t>Medium</t>
        </is>
      </c>
      <c r="AI86" s="20" t="inlineStr">
        <is>
          <t>Demand event only; award/supplier was not publicly verified.</t>
        </is>
      </c>
      <c r="AJ86" s="20" t="inlineStr">
        <is>
          <t>No</t>
        </is>
      </c>
      <c r="AK86" s="20" t="inlineStr">
        <is>
          <t>No</t>
        </is>
      </c>
      <c r="AL86" s="20" t="inlineStr">
        <is>
          <t>No</t>
        </is>
      </c>
      <c r="AM86" s="20" t="inlineStr">
        <is>
          <t>Yes</t>
        </is>
      </c>
      <c r="AN86" s="20" t="inlineStr">
        <is>
          <t>No</t>
        </is>
      </c>
      <c r="AO86" s="20" t="inlineStr">
        <is>
          <t>Yes</t>
        </is>
      </c>
      <c r="AP86" s="20" t="inlineStr">
        <is>
          <t>Included in Land core</t>
        </is>
      </c>
      <c r="AQ86" s="92" t="n">
        <v>1</v>
      </c>
      <c r="AR86" s="92" t="n">
        <v>0</v>
      </c>
      <c r="AS86" s="92" t="n">
        <v>1</v>
      </c>
      <c r="AT86" s="92" t="n">
        <v>1</v>
      </c>
      <c r="AU86" s="92" t="n">
        <v>1</v>
      </c>
      <c r="AV86" s="92" t="n">
        <v>0</v>
      </c>
      <c r="AW86" s="92" t="n">
        <v>0</v>
      </c>
    </row>
    <row r="87">
      <c r="A87" s="20" t="inlineStr">
        <is>
          <t>SM-0083</t>
        </is>
      </c>
      <c r="B87" s="20" t="inlineStr">
        <is>
          <t>JP-MEDS</t>
        </is>
      </c>
      <c r="C87" s="98" t="inlineStr">
        <is>
          <t>2025-03-06</t>
        </is>
      </c>
      <c r="D87" s="92" t="n">
        <v>2025</v>
      </c>
      <c r="E87" s="20" t="inlineStr">
        <is>
          <t>Japan</t>
        </is>
      </c>
      <c r="F87" s="20" t="inlineStr">
        <is>
          <t>Japan MOD / ATLA / JGSDF</t>
        </is>
      </c>
      <c r="G87" s="20" t="inlineStr">
        <is>
          <t>Japan MOD / JGSDF</t>
        </is>
      </c>
      <c r="H87" s="20" t="inlineStr">
        <is>
          <t>Army / Land</t>
        </is>
      </c>
      <c r="I87" s="20" t="inlineStr">
        <is>
          <t>Nippon Aircraft Supply (NAS)</t>
        </is>
      </c>
      <c r="J87" s="20" t="inlineStr">
        <is>
          <t>NAS / Fibrotex programme team</t>
        </is>
      </c>
      <c r="K87" s="20" t="inlineStr">
        <is>
          <t>Japan</t>
        </is>
      </c>
      <c r="L87" s="20" t="inlineStr">
        <is>
          <t>MEDS — Individual camouflage equipment</t>
        </is>
      </c>
      <c r="M87" s="20" t="inlineStr">
        <is>
          <t>Personnel</t>
        </is>
      </c>
      <c r="N87" s="20" t="inlineStr">
        <is>
          <t>Multiple Electromagnetic Disguise Net Set</t>
        </is>
      </c>
      <c r="O87" s="20" t="inlineStr">
        <is>
          <t>Multispectral</t>
        </is>
      </c>
      <c r="P87" s="20" t="inlineStr">
        <is>
          <t>Production order</t>
        </is>
      </c>
      <c r="Q87" s="20" t="inlineStr">
        <is>
          <t>Award</t>
        </is>
      </c>
      <c r="R87" s="20" t="inlineStr">
        <is>
          <t>Yes</t>
        </is>
      </c>
      <c r="S87" s="99" t="inlineStr">
        <is>
          <t>12</t>
        </is>
      </c>
      <c r="T87" s="20" t="inlineStr">
        <is>
          <t>sets</t>
        </is>
      </c>
      <c r="U87" s="20" t="inlineStr">
        <is>
          <t>Contracted sets</t>
        </is>
      </c>
      <c r="V87" s="100" t="inlineStr">
        <is>
          <t>1716000</t>
        </is>
      </c>
      <c r="W87" s="20" t="inlineStr">
        <is>
          <t>JPY</t>
        </is>
      </c>
      <c r="X87" s="20" t="inlineStr">
        <is>
          <t>Signed contract value</t>
        </is>
      </c>
      <c r="Y87" s="20" t="inlineStr">
        <is>
          <t>Obligated / signed if disclosed</t>
        </is>
      </c>
      <c r="Z87" s="20" t="inlineStr">
        <is>
          <t>No</t>
        </is>
      </c>
      <c r="AA87" s="20" t="inlineStr">
        <is>
          <t>Production Procurement</t>
        </is>
      </c>
      <c r="AB87" s="20" t="inlineStr">
        <is>
          <t>Personnel / mixed</t>
        </is>
      </c>
      <c r="AC87" s="20" t="inlineStr">
        <is>
          <t>No</t>
        </is>
      </c>
      <c r="AD87" s="20" t="inlineStr">
        <is>
          <t>Personnel-only or mixed personnel scope</t>
        </is>
      </c>
      <c r="AE87" s="20" t="inlineStr">
        <is>
          <t>https://www.mod.go.jp/atla/souhon/supply/jisseki/rakusatu/kohyo_r06/06_zuikei_kijunijo-03.xlsx</t>
        </is>
      </c>
      <c r="AF87" s="20" t="inlineStr">
        <is>
          <t>Official government / procurement record</t>
        </is>
      </c>
      <c r="AG87" s="20" t="inlineStr">
        <is>
          <t>Primary / official</t>
        </is>
      </c>
      <c r="AH87" s="20" t="inlineStr">
        <is>
          <t>High</t>
        </is>
      </c>
      <c r="AI87" s="20" t="inlineStr">
        <is>
          <t>Official ATLA contract line. Personnel-only; excluded from land-platform metrics.</t>
        </is>
      </c>
      <c r="AJ87" s="20" t="inlineStr">
        <is>
          <t>No</t>
        </is>
      </c>
      <c r="AK87" s="20" t="inlineStr">
        <is>
          <t>No</t>
        </is>
      </c>
      <c r="AL87" s="20" t="inlineStr">
        <is>
          <t>No</t>
        </is>
      </c>
      <c r="AM87" s="20" t="inlineStr">
        <is>
          <t>Yes</t>
        </is>
      </c>
      <c r="AN87" s="20" t="inlineStr">
        <is>
          <t>No</t>
        </is>
      </c>
      <c r="AO87" s="20" t="inlineStr">
        <is>
          <t>Yes</t>
        </is>
      </c>
      <c r="AP87" s="20" t="inlineStr">
        <is>
          <t>Retained as contextual; excluded from Land core</t>
        </is>
      </c>
      <c r="AQ87" s="92" t="n">
        <v>0</v>
      </c>
      <c r="AR87" s="92" t="n">
        <v>0</v>
      </c>
      <c r="AS87" s="92" t="n">
        <v>0</v>
      </c>
      <c r="AT87" s="92" t="n">
        <v>0</v>
      </c>
      <c r="AU87" s="92" t="n">
        <v>0</v>
      </c>
      <c r="AV87" s="92" t="n">
        <v>0</v>
      </c>
      <c r="AW87" s="92" t="n">
        <v>0</v>
      </c>
    </row>
    <row r="88">
      <c r="A88" s="20" t="inlineStr">
        <is>
          <t>SM-0084</t>
        </is>
      </c>
      <c r="B88" s="20" t="inlineStr">
        <is>
          <t>AME-CNELS-XHANGAR-2023-25</t>
        </is>
      </c>
      <c r="C88" s="98" t="inlineStr">
        <is>
          <t>2025-03-14</t>
        </is>
      </c>
      <c r="D88" s="92" t="n">
        <v>2025</v>
      </c>
      <c r="E88" s="20" t="inlineStr">
        <is>
          <t>United States</t>
        </is>
      </c>
      <c r="F88" s="20" t="inlineStr">
        <is>
          <t>Naval Research Laboratory / ONR</t>
        </is>
      </c>
      <c r="G88" s="20" t="inlineStr">
        <is>
          <t>U.S. NRL / ONR</t>
        </is>
      </c>
      <c r="H88" s="20" t="inlineStr">
        <is>
          <t>Navy</t>
        </is>
      </c>
      <c r="I88" s="20" t="inlineStr">
        <is>
          <t>Ametrine Technologies</t>
        </is>
      </c>
      <c r="J88" s="20" t="inlineStr">
        <is>
          <t>Ametrine Technologies</t>
        </is>
      </c>
      <c r="K88" s="20" t="inlineStr">
        <is>
          <t>USA</t>
        </is>
      </c>
      <c r="L88" s="20" t="inlineStr">
        <is>
          <t>Third-generation X-Hangar</t>
        </is>
      </c>
      <c r="M88" s="20" t="inlineStr">
        <is>
          <t>Expeditionary/static</t>
        </is>
      </c>
      <c r="N88" s="20" t="inlineStr">
        <is>
          <t>Passive multimodal camouflage cover</t>
        </is>
      </c>
      <c r="O88" s="20" t="inlineStr">
        <is>
          <t>Multispectral</t>
        </is>
      </c>
      <c r="P88" s="20" t="inlineStr">
        <is>
          <t>Sources sought</t>
        </is>
      </c>
      <c r="Q88" s="20" t="inlineStr">
        <is>
          <t>Market research</t>
        </is>
      </c>
      <c r="R88" s="20" t="inlineStr">
        <is>
          <t>No</t>
        </is>
      </c>
      <c r="S88" s="99" t="n"/>
      <c r="T88" s="20" t="inlineStr">
        <is>
          <t>Unknown</t>
        </is>
      </c>
      <c r="U88" s="20" t="inlineStr">
        <is>
          <t>Unknown</t>
        </is>
      </c>
      <c r="V88" s="100" t="n"/>
      <c r="W88" s="20" t="inlineStr">
        <is>
          <t>USD</t>
        </is>
      </c>
      <c r="X88" s="20" t="inlineStr">
        <is>
          <t>No award at this stage</t>
        </is>
      </c>
      <c r="Y88" s="20" t="inlineStr">
        <is>
          <t>Obligated / signed if disclosed</t>
        </is>
      </c>
      <c r="Z88" s="20" t="inlineStr">
        <is>
          <t>No</t>
        </is>
      </c>
      <c r="AA88" s="20" t="inlineStr">
        <is>
          <t>Demand</t>
        </is>
      </c>
      <c r="AB88" s="20" t="inlineStr">
        <is>
          <t>Land</t>
        </is>
      </c>
      <c r="AC88" s="20" t="inlineStr">
        <is>
          <t>Yes</t>
        </is>
      </c>
      <c r="AD88" s="20" t="str"/>
      <c r="AE88" s="20" t="inlineStr">
        <is>
          <t>https://www.governmentcontracts.us/government-contracts/opportunity-details/98646696805500159.htm?catID=A</t>
        </is>
      </c>
      <c r="AF88" s="20" t="inlineStr">
        <is>
          <t>Government-opportunity mirror</t>
        </is>
      </c>
      <c r="AG88" s="20" t="inlineStr">
        <is>
          <t>Supplier / prime announcement</t>
        </is>
      </c>
      <c r="AH88" s="20" t="inlineStr">
        <is>
          <t>Medium</t>
        </is>
      </c>
      <c r="AI88" s="20" t="inlineStr">
        <is>
          <t>Linked to later solicitation and award; lifecycle stages retained, media duplicates removed.</t>
        </is>
      </c>
      <c r="AJ88" s="20" t="inlineStr">
        <is>
          <t>No</t>
        </is>
      </c>
      <c r="AK88" s="20" t="inlineStr">
        <is>
          <t>Yes</t>
        </is>
      </c>
      <c r="AL88" s="20" t="inlineStr">
        <is>
          <t>No</t>
        </is>
      </c>
      <c r="AM88" s="20" t="inlineStr">
        <is>
          <t>No</t>
        </is>
      </c>
      <c r="AN88" s="20" t="inlineStr">
        <is>
          <t>No</t>
        </is>
      </c>
      <c r="AO88" s="20" t="inlineStr">
        <is>
          <t>Yes</t>
        </is>
      </c>
      <c r="AP88" s="20" t="inlineStr">
        <is>
          <t>Included in Land core</t>
        </is>
      </c>
      <c r="AQ88" s="92" t="n">
        <v>1</v>
      </c>
      <c r="AR88" s="92" t="n">
        <v>0</v>
      </c>
      <c r="AS88" s="92" t="n">
        <v>1</v>
      </c>
      <c r="AT88" s="92" t="n">
        <v>1</v>
      </c>
      <c r="AU88" s="92" t="n">
        <v>1</v>
      </c>
      <c r="AV88" s="92" t="n">
        <v>0</v>
      </c>
      <c r="AW88" s="92" t="n">
        <v>0</v>
      </c>
    </row>
    <row r="89">
      <c r="A89" s="20" t="inlineStr">
        <is>
          <t>SM-0085</t>
        </is>
      </c>
      <c r="B89" s="20" t="inlineStr">
        <is>
          <t>ARC-N0017825Q6738</t>
        </is>
      </c>
      <c r="C89" s="98" t="inlineStr">
        <is>
          <t>2025-03-24</t>
        </is>
      </c>
      <c r="D89" s="92" t="n">
        <v>2025</v>
      </c>
      <c r="E89" s="20" t="inlineStr">
        <is>
          <t>United States</t>
        </is>
      </c>
      <c r="F89" s="20" t="inlineStr">
        <is>
          <t>NSWC Dahlgren Division / U.S. Navy</t>
        </is>
      </c>
      <c r="G89" s="20" t="inlineStr">
        <is>
          <t>U.S. Navy</t>
        </is>
      </c>
      <c r="H89" s="20" t="inlineStr">
        <is>
          <t>Navy</t>
        </is>
      </c>
      <c r="I89" s="20" t="inlineStr">
        <is>
          <t>ARC Technologies LLC (Hexcel subsidiary)</t>
        </is>
      </c>
      <c r="J89" s="20" t="inlineStr">
        <is>
          <t>ARC Technologies / Hexcel</t>
        </is>
      </c>
      <c r="K89" s="20" t="inlineStr">
        <is>
          <t>USA</t>
        </is>
      </c>
      <c r="L89" s="20" t="inlineStr">
        <is>
          <t>N0017825Q6738</t>
        </is>
      </c>
      <c r="M89" s="20" t="inlineStr">
        <is>
          <t>RAM / Composite</t>
        </is>
      </c>
      <c r="N89" s="20" t="inlineStr">
        <is>
          <t>Custom ARC RAM, 36x48 inch configurations</t>
        </is>
      </c>
      <c r="O89" s="20" t="inlineStr">
        <is>
          <t>Radar / RCS</t>
        </is>
      </c>
      <c r="P89" s="20" t="inlineStr">
        <is>
          <t>RFQ</t>
        </is>
      </c>
      <c r="Q89" s="20" t="n"/>
      <c r="R89" s="20" t="inlineStr">
        <is>
          <t>No</t>
        </is>
      </c>
      <c r="S89" s="99" t="inlineStr">
        <is>
          <t>11</t>
        </is>
      </c>
      <c r="T89" s="20" t="inlineStr">
        <is>
          <t>units</t>
        </is>
      </c>
      <c r="U89" s="20" t="n"/>
      <c r="V89" s="100" t="n"/>
      <c r="W89" s="20" t="n"/>
      <c r="X89" s="20" t="n"/>
      <c r="Y89" s="20" t="inlineStr">
        <is>
          <t>Obligated / signed if disclosed</t>
        </is>
      </c>
      <c r="Z89" s="20" t="inlineStr">
        <is>
          <t>No</t>
        </is>
      </c>
      <c r="AA89" s="20" t="inlineStr">
        <is>
          <t>Demand</t>
        </is>
      </c>
      <c r="AB89" s="20" t="inlineStr">
        <is>
          <t>Other / Contextual</t>
        </is>
      </c>
      <c r="AC89" s="20" t="inlineStr">
        <is>
          <t>No</t>
        </is>
      </c>
      <c r="AD89" s="20" t="inlineStr">
        <is>
          <t>End use / platform not publicly established; naval contracting organization alone is insufficient for Maritime classification</t>
        </is>
      </c>
      <c r="AE89" s="20" t="inlineStr">
        <is>
          <t>https://govtribe.com/opportunity/federal-contract-opportunity/radar-absorbing-materials-n0017825q6738</t>
        </is>
      </c>
      <c r="AF89" s="20" t="inlineStr">
        <is>
          <t>Other credible third-party source (SAM-derived)</t>
        </is>
      </c>
      <c r="AG89" s="20" t="inlineStr">
        <is>
          <t>Secondary / aggregator</t>
        </is>
      </c>
      <c r="AH89" s="20" t="inlineStr">
        <is>
          <t>High</t>
        </is>
      </c>
      <c r="AI89" s="20" t="inlineStr">
        <is>
          <t>RFQ stage of the later N0017825P6738 award; count as demand milestone, not a sale.</t>
        </is>
      </c>
      <c r="AJ89" s="20" t="inlineStr">
        <is>
          <t>Yes</t>
        </is>
      </c>
      <c r="AK89" s="20" t="inlineStr">
        <is>
          <t>No</t>
        </is>
      </c>
      <c r="AL89" s="20" t="inlineStr">
        <is>
          <t>No</t>
        </is>
      </c>
      <c r="AM89" s="20" t="inlineStr">
        <is>
          <t>No</t>
        </is>
      </c>
      <c r="AN89" s="20" t="inlineStr">
        <is>
          <t>No</t>
        </is>
      </c>
      <c r="AO89" s="20" t="inlineStr">
        <is>
          <t>Yes</t>
        </is>
      </c>
      <c r="AP89" s="20" t="inlineStr">
        <is>
          <t>Retained as contextual; excluded from Land core</t>
        </is>
      </c>
      <c r="AQ89" s="92" t="n">
        <v>0</v>
      </c>
      <c r="AR89" s="92" t="n">
        <v>0</v>
      </c>
      <c r="AS89" s="92" t="n">
        <v>0</v>
      </c>
      <c r="AT89" s="92" t="n">
        <v>0</v>
      </c>
      <c r="AU89" s="92" t="n">
        <v>0</v>
      </c>
      <c r="AV89" s="92" t="n">
        <v>0</v>
      </c>
      <c r="AW89" s="92" t="n">
        <v>0</v>
      </c>
    </row>
    <row r="90">
      <c r="A90" s="20" t="inlineStr">
        <is>
          <t>SM-0086</t>
        </is>
      </c>
      <c r="B90" s="20" t="inlineStr">
        <is>
          <t>JP-MEDS</t>
        </is>
      </c>
      <c r="C90" s="98" t="inlineStr">
        <is>
          <t>2025-03-24</t>
        </is>
      </c>
      <c r="D90" s="92" t="n">
        <v>2025</v>
      </c>
      <c r="E90" s="20" t="inlineStr">
        <is>
          <t>Japan</t>
        </is>
      </c>
      <c r="F90" s="20" t="inlineStr">
        <is>
          <t>Japan MOD / ATLA / JGSDF</t>
        </is>
      </c>
      <c r="G90" s="20" t="inlineStr">
        <is>
          <t>Japan MOD / JGSDF</t>
        </is>
      </c>
      <c r="H90" s="20" t="inlineStr">
        <is>
          <t>Army / Land</t>
        </is>
      </c>
      <c r="I90" s="20" t="inlineStr">
        <is>
          <t>Nippon Aircraft Supply (NAS)</t>
        </is>
      </c>
      <c r="J90" s="20" t="inlineStr">
        <is>
          <t>NAS / Fibrotex programme team</t>
        </is>
      </c>
      <c r="K90" s="20" t="inlineStr">
        <is>
          <t>Japan</t>
        </is>
      </c>
      <c r="L90" s="20" t="inlineStr">
        <is>
          <t>MEDS — Chemical equipment</t>
        </is>
      </c>
      <c r="M90" s="20" t="inlineStr">
        <is>
          <t>JGSDF land support equipment</t>
        </is>
      </c>
      <c r="N90" s="20" t="inlineStr">
        <is>
          <t>Multiple Electromagnetic Disguise Net Set</t>
        </is>
      </c>
      <c r="O90" s="20" t="inlineStr">
        <is>
          <t>Multispectral</t>
        </is>
      </c>
      <c r="P90" s="20" t="inlineStr">
        <is>
          <t>Production order</t>
        </is>
      </c>
      <c r="Q90" s="20" t="inlineStr">
        <is>
          <t>Award</t>
        </is>
      </c>
      <c r="R90" s="20" t="inlineStr">
        <is>
          <t>Yes</t>
        </is>
      </c>
      <c r="S90" s="99" t="inlineStr">
        <is>
          <t>28</t>
        </is>
      </c>
      <c r="T90" s="20" t="inlineStr">
        <is>
          <t>sets</t>
        </is>
      </c>
      <c r="U90" s="20" t="inlineStr">
        <is>
          <t>Contracted sets</t>
        </is>
      </c>
      <c r="V90" s="100" t="inlineStr">
        <is>
          <t>105498360</t>
        </is>
      </c>
      <c r="W90" s="20" t="inlineStr">
        <is>
          <t>JPY</t>
        </is>
      </c>
      <c r="X90" s="20" t="inlineStr">
        <is>
          <t>Signed contract value</t>
        </is>
      </c>
      <c r="Y90" s="20" t="inlineStr">
        <is>
          <t>Obligated / signed if disclosed</t>
        </is>
      </c>
      <c r="Z90" s="20" t="inlineStr">
        <is>
          <t>Yes</t>
        </is>
      </c>
      <c r="AA90" s="20" t="inlineStr">
        <is>
          <t>Production Procurement</t>
        </is>
      </c>
      <c r="AB90" s="20" t="inlineStr">
        <is>
          <t>Land</t>
        </is>
      </c>
      <c r="AC90" s="20" t="inlineStr">
        <is>
          <t>Yes</t>
        </is>
      </c>
      <c r="AD90" s="20" t="n"/>
      <c r="AE90" s="20" t="inlineStr">
        <is>
          <t>https://www.mod.go.jp/atla/souhon/supply/jisseki/rakusatu/kohyo_r06/06_zuikei_kijunijo-03.xlsx</t>
        </is>
      </c>
      <c r="AF90" s="20" t="inlineStr">
        <is>
          <t>Official government / procurement record</t>
        </is>
      </c>
      <c r="AG90" s="20" t="inlineStr">
        <is>
          <t>Primary / official</t>
        </is>
      </c>
      <c r="AH90" s="20" t="inlineStr">
        <is>
          <t>High</t>
        </is>
      </c>
      <c r="AI90" s="20" t="inlineStr">
        <is>
          <t xml:space="preserve">Official ATLA contract line. </t>
        </is>
      </c>
      <c r="AJ90" s="20" t="inlineStr">
        <is>
          <t>No</t>
        </is>
      </c>
      <c r="AK90" s="20" t="inlineStr">
        <is>
          <t>No</t>
        </is>
      </c>
      <c r="AL90" s="20" t="inlineStr">
        <is>
          <t>No</t>
        </is>
      </c>
      <c r="AM90" s="20" t="inlineStr">
        <is>
          <t>Yes</t>
        </is>
      </c>
      <c r="AN90" s="20" t="inlineStr">
        <is>
          <t>No</t>
        </is>
      </c>
      <c r="AO90" s="20" t="inlineStr">
        <is>
          <t>Yes</t>
        </is>
      </c>
      <c r="AP90" s="20" t="inlineStr">
        <is>
          <t>Included in Land core</t>
        </is>
      </c>
      <c r="AQ90" s="92" t="n">
        <v>0</v>
      </c>
      <c r="AR90" s="92" t="n">
        <v>1</v>
      </c>
      <c r="AS90" s="92" t="n">
        <v>0</v>
      </c>
      <c r="AT90" s="92" t="n">
        <v>0</v>
      </c>
      <c r="AU90" s="92" t="n">
        <v>0</v>
      </c>
      <c r="AV90" s="92" t="n">
        <v>0</v>
      </c>
      <c r="AW90" s="92" t="n">
        <v>1</v>
      </c>
    </row>
    <row r="91">
      <c r="A91" s="20" t="inlineStr">
        <is>
          <t>SM-0087</t>
        </is>
      </c>
      <c r="B91" s="20" t="inlineStr">
        <is>
          <t>JP-MEDS</t>
        </is>
      </c>
      <c r="C91" s="98" t="inlineStr">
        <is>
          <t>2025-03-24</t>
        </is>
      </c>
      <c r="D91" s="92" t="n">
        <v>2025</v>
      </c>
      <c r="E91" s="20" t="inlineStr">
        <is>
          <t>Japan</t>
        </is>
      </c>
      <c r="F91" s="20" t="inlineStr">
        <is>
          <t>Japan MOD / ATLA / JGSDF</t>
        </is>
      </c>
      <c r="G91" s="20" t="inlineStr">
        <is>
          <t>Japan MOD / JGSDF</t>
        </is>
      </c>
      <c r="H91" s="20" t="inlineStr">
        <is>
          <t>Army / Land</t>
        </is>
      </c>
      <c r="I91" s="20" t="inlineStr">
        <is>
          <t>Nippon Aircraft Supply (NAS)</t>
        </is>
      </c>
      <c r="J91" s="20" t="inlineStr">
        <is>
          <t>NAS / Fibrotex programme team</t>
        </is>
      </c>
      <c r="K91" s="20" t="inlineStr">
        <is>
          <t>Japan</t>
        </is>
      </c>
      <c r="L91" s="20" t="inlineStr">
        <is>
          <t>MEDS — Communications / electronics equipment</t>
        </is>
      </c>
      <c r="M91" s="20" t="inlineStr">
        <is>
          <t>JGSDF communications equipment</t>
        </is>
      </c>
      <c r="N91" s="20" t="inlineStr">
        <is>
          <t>Multiple Electromagnetic Disguise Net Set</t>
        </is>
      </c>
      <c r="O91" s="20" t="inlineStr">
        <is>
          <t>Multispectral</t>
        </is>
      </c>
      <c r="P91" s="20" t="inlineStr">
        <is>
          <t>Production order</t>
        </is>
      </c>
      <c r="Q91" s="20" t="inlineStr">
        <is>
          <t>Award</t>
        </is>
      </c>
      <c r="R91" s="20" t="inlineStr">
        <is>
          <t>Yes</t>
        </is>
      </c>
      <c r="S91" s="99" t="inlineStr">
        <is>
          <t>52</t>
        </is>
      </c>
      <c r="T91" s="20" t="inlineStr">
        <is>
          <t>sets</t>
        </is>
      </c>
      <c r="U91" s="20" t="inlineStr">
        <is>
          <t>Contracted sets</t>
        </is>
      </c>
      <c r="V91" s="100" t="inlineStr">
        <is>
          <t>196133850</t>
        </is>
      </c>
      <c r="W91" s="20" t="inlineStr">
        <is>
          <t>JPY</t>
        </is>
      </c>
      <c r="X91" s="20" t="inlineStr">
        <is>
          <t>Signed contract value</t>
        </is>
      </c>
      <c r="Y91" s="20" t="inlineStr">
        <is>
          <t>Obligated / signed if disclosed</t>
        </is>
      </c>
      <c r="Z91" s="20" t="inlineStr">
        <is>
          <t>Yes</t>
        </is>
      </c>
      <c r="AA91" s="20" t="inlineStr">
        <is>
          <t>Production Procurement</t>
        </is>
      </c>
      <c r="AB91" s="20" t="inlineStr">
        <is>
          <t>Land</t>
        </is>
      </c>
      <c r="AC91" s="20" t="inlineStr">
        <is>
          <t>Yes</t>
        </is>
      </c>
      <c r="AD91" s="20" t="n"/>
      <c r="AE91" s="20" t="inlineStr">
        <is>
          <t>https://www.mod.go.jp/atla/souhon/supply/jisseki/rakusatu/kohyo_r06/06_zuikei_kijunijo-03.xlsx</t>
        </is>
      </c>
      <c r="AF91" s="20" t="inlineStr">
        <is>
          <t>Official government / procurement record</t>
        </is>
      </c>
      <c r="AG91" s="20" t="inlineStr">
        <is>
          <t>Primary / official</t>
        </is>
      </c>
      <c r="AH91" s="20" t="inlineStr">
        <is>
          <t>High</t>
        </is>
      </c>
      <c r="AI91" s="20" t="inlineStr">
        <is>
          <t xml:space="preserve">Official ATLA contract line. </t>
        </is>
      </c>
      <c r="AJ91" s="20" t="inlineStr">
        <is>
          <t>No</t>
        </is>
      </c>
      <c r="AK91" s="20" t="inlineStr">
        <is>
          <t>No</t>
        </is>
      </c>
      <c r="AL91" s="20" t="inlineStr">
        <is>
          <t>No</t>
        </is>
      </c>
      <c r="AM91" s="20" t="inlineStr">
        <is>
          <t>Yes</t>
        </is>
      </c>
      <c r="AN91" s="20" t="inlineStr">
        <is>
          <t>No</t>
        </is>
      </c>
      <c r="AO91" s="20" t="inlineStr">
        <is>
          <t>Yes</t>
        </is>
      </c>
      <c r="AP91" s="20" t="inlineStr">
        <is>
          <t>Included in Land core</t>
        </is>
      </c>
      <c r="AQ91" s="92" t="n">
        <v>0</v>
      </c>
      <c r="AR91" s="92" t="n">
        <v>0</v>
      </c>
      <c r="AS91" s="92" t="n">
        <v>0</v>
      </c>
      <c r="AT91" s="92" t="n">
        <v>0</v>
      </c>
      <c r="AU91" s="92" t="n">
        <v>0</v>
      </c>
      <c r="AV91" s="92" t="n">
        <v>0</v>
      </c>
      <c r="AW91" s="92" t="n">
        <v>1</v>
      </c>
    </row>
    <row r="92">
      <c r="A92" s="20" t="inlineStr">
        <is>
          <t>SM-0088</t>
        </is>
      </c>
      <c r="B92" s="20" t="inlineStr">
        <is>
          <t>JP-MEDS</t>
        </is>
      </c>
      <c r="C92" s="98" t="inlineStr">
        <is>
          <t>2025-03-24</t>
        </is>
      </c>
      <c r="D92" s="92" t="n">
        <v>2025</v>
      </c>
      <c r="E92" s="20" t="inlineStr">
        <is>
          <t>Japan</t>
        </is>
      </c>
      <c r="F92" s="20" t="inlineStr">
        <is>
          <t>Japan MOD / ATLA / JGSDF</t>
        </is>
      </c>
      <c r="G92" s="20" t="inlineStr">
        <is>
          <t>Japan MOD / JGSDF</t>
        </is>
      </c>
      <c r="H92" s="20" t="inlineStr">
        <is>
          <t>Army / Land</t>
        </is>
      </c>
      <c r="I92" s="20" t="inlineStr">
        <is>
          <t>Nippon Aircraft Supply (NAS)</t>
        </is>
      </c>
      <c r="J92" s="20" t="inlineStr">
        <is>
          <t>NAS / Fibrotex programme team</t>
        </is>
      </c>
      <c r="K92" s="20" t="inlineStr">
        <is>
          <t>Japan</t>
        </is>
      </c>
      <c r="L92" s="20" t="inlineStr">
        <is>
          <t>MEDS — Firepower / vehicle equipment</t>
        </is>
      </c>
      <c r="M92" s="20" t="inlineStr">
        <is>
          <t>JGSDF vehicle / firepower equipment</t>
        </is>
      </c>
      <c r="N92" s="20" t="inlineStr">
        <is>
          <t>Multiple Electromagnetic Disguise Net Set</t>
        </is>
      </c>
      <c r="O92" s="20" t="inlineStr">
        <is>
          <t>Multispectral</t>
        </is>
      </c>
      <c r="P92" s="20" t="inlineStr">
        <is>
          <t>Production order</t>
        </is>
      </c>
      <c r="Q92" s="20" t="inlineStr">
        <is>
          <t>Award</t>
        </is>
      </c>
      <c r="R92" s="20" t="inlineStr">
        <is>
          <t>Yes</t>
        </is>
      </c>
      <c r="S92" s="99" t="inlineStr">
        <is>
          <t>55</t>
        </is>
      </c>
      <c r="T92" s="20" t="inlineStr">
        <is>
          <t>sets</t>
        </is>
      </c>
      <c r="U92" s="20" t="inlineStr">
        <is>
          <t>Contracted sets</t>
        </is>
      </c>
      <c r="V92" s="100" t="inlineStr">
        <is>
          <t>225236660</t>
        </is>
      </c>
      <c r="W92" s="20" t="inlineStr">
        <is>
          <t>JPY</t>
        </is>
      </c>
      <c r="X92" s="20" t="inlineStr">
        <is>
          <t>Signed contract value</t>
        </is>
      </c>
      <c r="Y92" s="20" t="inlineStr">
        <is>
          <t>Obligated / signed if disclosed</t>
        </is>
      </c>
      <c r="Z92" s="20" t="inlineStr">
        <is>
          <t>Yes</t>
        </is>
      </c>
      <c r="AA92" s="20" t="inlineStr">
        <is>
          <t>Production Procurement</t>
        </is>
      </c>
      <c r="AB92" s="20" t="inlineStr">
        <is>
          <t>Land</t>
        </is>
      </c>
      <c r="AC92" s="20" t="inlineStr">
        <is>
          <t>Yes</t>
        </is>
      </c>
      <c r="AD92" s="20" t="n"/>
      <c r="AE92" s="20" t="inlineStr">
        <is>
          <t>https://www.mod.go.jp/atla/souhon/supply/jisseki/rakusatu/kohyo_r06/06_zuikei_kijunijo-03.xlsx</t>
        </is>
      </c>
      <c r="AF92" s="20" t="inlineStr">
        <is>
          <t>Official government / procurement record</t>
        </is>
      </c>
      <c r="AG92" s="20" t="inlineStr">
        <is>
          <t>Primary / official</t>
        </is>
      </c>
      <c r="AH92" s="20" t="inlineStr">
        <is>
          <t>High</t>
        </is>
      </c>
      <c r="AI92" s="20" t="inlineStr">
        <is>
          <t xml:space="preserve">Official ATLA contract line. </t>
        </is>
      </c>
      <c r="AJ92" s="20" t="inlineStr">
        <is>
          <t>No</t>
        </is>
      </c>
      <c r="AK92" s="20" t="inlineStr">
        <is>
          <t>No</t>
        </is>
      </c>
      <c r="AL92" s="20" t="inlineStr">
        <is>
          <t>No</t>
        </is>
      </c>
      <c r="AM92" s="20" t="inlineStr">
        <is>
          <t>Yes</t>
        </is>
      </c>
      <c r="AN92" s="20" t="inlineStr">
        <is>
          <t>No</t>
        </is>
      </c>
      <c r="AO92" s="20" t="inlineStr">
        <is>
          <t>Yes</t>
        </is>
      </c>
      <c r="AP92" s="20" t="inlineStr">
        <is>
          <t>Included in Land core</t>
        </is>
      </c>
      <c r="AQ92" s="92" t="n">
        <v>0</v>
      </c>
      <c r="AR92" s="92" t="n">
        <v>0</v>
      </c>
      <c r="AS92" s="92" t="n">
        <v>0</v>
      </c>
      <c r="AT92" s="92" t="n">
        <v>0</v>
      </c>
      <c r="AU92" s="92" t="n">
        <v>0</v>
      </c>
      <c r="AV92" s="92" t="n">
        <v>0</v>
      </c>
      <c r="AW92" s="92" t="n">
        <v>1</v>
      </c>
    </row>
    <row r="93">
      <c r="A93" s="20" t="inlineStr">
        <is>
          <t>SM-0089</t>
        </is>
      </c>
      <c r="B93" s="20" t="inlineStr">
        <is>
          <t>JP-MEDS</t>
        </is>
      </c>
      <c r="C93" s="98" t="inlineStr">
        <is>
          <t>2025-03-24</t>
        </is>
      </c>
      <c r="D93" s="92" t="n">
        <v>2025</v>
      </c>
      <c r="E93" s="20" t="inlineStr">
        <is>
          <t>Japan</t>
        </is>
      </c>
      <c r="F93" s="20" t="inlineStr">
        <is>
          <t>Japan MOD / ATLA / JGSDF</t>
        </is>
      </c>
      <c r="G93" s="20" t="inlineStr">
        <is>
          <t>Japan MOD / JGSDF</t>
        </is>
      </c>
      <c r="H93" s="20" t="inlineStr">
        <is>
          <t>Army / Land</t>
        </is>
      </c>
      <c r="I93" s="20" t="inlineStr">
        <is>
          <t>Nippon Aircraft Supply (NAS)</t>
        </is>
      </c>
      <c r="J93" s="20" t="inlineStr">
        <is>
          <t>NAS / Fibrotex programme team</t>
        </is>
      </c>
      <c r="K93" s="20" t="inlineStr">
        <is>
          <t>Japan</t>
        </is>
      </c>
      <c r="L93" s="20" t="inlineStr">
        <is>
          <t>MEDS — Firepower / vehicle equipment</t>
        </is>
      </c>
      <c r="M93" s="20" t="inlineStr">
        <is>
          <t>JGSDF vehicle / firepower equipment</t>
        </is>
      </c>
      <c r="N93" s="20" t="inlineStr">
        <is>
          <t>Multiple Electromagnetic Disguise Net Set</t>
        </is>
      </c>
      <c r="O93" s="20" t="inlineStr">
        <is>
          <t>Multispectral</t>
        </is>
      </c>
      <c r="P93" s="20" t="inlineStr">
        <is>
          <t>Production order</t>
        </is>
      </c>
      <c r="Q93" s="20" t="inlineStr">
        <is>
          <t>Award</t>
        </is>
      </c>
      <c r="R93" s="20" t="inlineStr">
        <is>
          <t>Yes</t>
        </is>
      </c>
      <c r="S93" s="99" t="inlineStr">
        <is>
          <t>40</t>
        </is>
      </c>
      <c r="T93" s="20" t="inlineStr">
        <is>
          <t>sets</t>
        </is>
      </c>
      <c r="U93" s="20" t="inlineStr">
        <is>
          <t>Contracted sets</t>
        </is>
      </c>
      <c r="V93" s="100" t="inlineStr">
        <is>
          <t>171842440</t>
        </is>
      </c>
      <c r="W93" s="20" t="inlineStr">
        <is>
          <t>JPY</t>
        </is>
      </c>
      <c r="X93" s="20" t="inlineStr">
        <is>
          <t>Signed contract value</t>
        </is>
      </c>
      <c r="Y93" s="20" t="inlineStr">
        <is>
          <t>Obligated / signed if disclosed</t>
        </is>
      </c>
      <c r="Z93" s="20" t="inlineStr">
        <is>
          <t>Yes</t>
        </is>
      </c>
      <c r="AA93" s="20" t="inlineStr">
        <is>
          <t>Production Procurement</t>
        </is>
      </c>
      <c r="AB93" s="20" t="inlineStr">
        <is>
          <t>Land</t>
        </is>
      </c>
      <c r="AC93" s="20" t="inlineStr">
        <is>
          <t>Yes</t>
        </is>
      </c>
      <c r="AD93" s="20" t="n"/>
      <c r="AE93" s="20" t="inlineStr">
        <is>
          <t>https://www.mod.go.jp/atla/souhon/supply/jisseki/rakusatu/kohyo_r06/06_zuikei_kijunijo-03.xlsx</t>
        </is>
      </c>
      <c r="AF93" s="20" t="inlineStr">
        <is>
          <t>Official government / procurement record</t>
        </is>
      </c>
      <c r="AG93" s="20" t="inlineStr">
        <is>
          <t>Primary / official</t>
        </is>
      </c>
      <c r="AH93" s="20" t="inlineStr">
        <is>
          <t>High</t>
        </is>
      </c>
      <c r="AI93" s="20" t="inlineStr">
        <is>
          <t xml:space="preserve">Official ATLA contract line. </t>
        </is>
      </c>
      <c r="AJ93" s="20" t="inlineStr">
        <is>
          <t>No</t>
        </is>
      </c>
      <c r="AK93" s="20" t="inlineStr">
        <is>
          <t>No</t>
        </is>
      </c>
      <c r="AL93" s="20" t="inlineStr">
        <is>
          <t>No</t>
        </is>
      </c>
      <c r="AM93" s="20" t="inlineStr">
        <is>
          <t>Yes</t>
        </is>
      </c>
      <c r="AN93" s="20" t="inlineStr">
        <is>
          <t>No</t>
        </is>
      </c>
      <c r="AO93" s="20" t="inlineStr">
        <is>
          <t>Yes</t>
        </is>
      </c>
      <c r="AP93" s="20" t="inlineStr">
        <is>
          <t>Included in Land core</t>
        </is>
      </c>
      <c r="AQ93" s="92" t="n">
        <v>0</v>
      </c>
      <c r="AR93" s="92" t="n">
        <v>0</v>
      </c>
      <c r="AS93" s="92" t="n">
        <v>0</v>
      </c>
      <c r="AT93" s="92" t="n">
        <v>0</v>
      </c>
      <c r="AU93" s="92" t="n">
        <v>0</v>
      </c>
      <c r="AV93" s="92" t="n">
        <v>0</v>
      </c>
      <c r="AW93" s="92" t="n">
        <v>1</v>
      </c>
    </row>
    <row r="94">
      <c r="A94" s="20" t="inlineStr">
        <is>
          <t>SM-0090</t>
        </is>
      </c>
      <c r="B94" s="20" t="inlineStr">
        <is>
          <t>JP-MEDS</t>
        </is>
      </c>
      <c r="C94" s="98" t="inlineStr">
        <is>
          <t>2025-03-24</t>
        </is>
      </c>
      <c r="D94" s="92" t="n">
        <v>2025</v>
      </c>
      <c r="E94" s="20" t="inlineStr">
        <is>
          <t>Japan</t>
        </is>
      </c>
      <c r="F94" s="20" t="inlineStr">
        <is>
          <t>Japan MOD / ATLA / JGSDF</t>
        </is>
      </c>
      <c r="G94" s="20" t="inlineStr">
        <is>
          <t>Japan MOD / JGSDF</t>
        </is>
      </c>
      <c r="H94" s="20" t="inlineStr">
        <is>
          <t>Army / Land</t>
        </is>
      </c>
      <c r="I94" s="20" t="inlineStr">
        <is>
          <t>Nippon Aircraft Supply (NAS)</t>
        </is>
      </c>
      <c r="J94" s="20" t="inlineStr">
        <is>
          <t>NAS / Fibrotex programme team</t>
        </is>
      </c>
      <c r="K94" s="20" t="inlineStr">
        <is>
          <t>Japan</t>
        </is>
      </c>
      <c r="L94" s="20" t="inlineStr">
        <is>
          <t>MEDS — Firepower / vehicle equipment</t>
        </is>
      </c>
      <c r="M94" s="20" t="inlineStr">
        <is>
          <t>JGSDF vehicle / firepower equipment</t>
        </is>
      </c>
      <c r="N94" s="20" t="inlineStr">
        <is>
          <t>Multiple Electromagnetic Disguise Net Set</t>
        </is>
      </c>
      <c r="O94" s="20" t="inlineStr">
        <is>
          <t>Multispectral</t>
        </is>
      </c>
      <c r="P94" s="20" t="inlineStr">
        <is>
          <t>Production order</t>
        </is>
      </c>
      <c r="Q94" s="20" t="inlineStr">
        <is>
          <t>Award</t>
        </is>
      </c>
      <c r="R94" s="20" t="inlineStr">
        <is>
          <t>Yes</t>
        </is>
      </c>
      <c r="S94" s="99" t="inlineStr">
        <is>
          <t>11</t>
        </is>
      </c>
      <c r="T94" s="20" t="inlineStr">
        <is>
          <t>sets</t>
        </is>
      </c>
      <c r="U94" s="20" t="inlineStr">
        <is>
          <t>Contracted sets</t>
        </is>
      </c>
      <c r="V94" s="100" t="inlineStr">
        <is>
          <t>51924290</t>
        </is>
      </c>
      <c r="W94" s="20" t="inlineStr">
        <is>
          <t>JPY</t>
        </is>
      </c>
      <c r="X94" s="20" t="inlineStr">
        <is>
          <t>Signed contract value</t>
        </is>
      </c>
      <c r="Y94" s="20" t="inlineStr">
        <is>
          <t>Obligated / signed if disclosed</t>
        </is>
      </c>
      <c r="Z94" s="20" t="inlineStr">
        <is>
          <t>Yes</t>
        </is>
      </c>
      <c r="AA94" s="20" t="inlineStr">
        <is>
          <t>Production Procurement</t>
        </is>
      </c>
      <c r="AB94" s="20" t="inlineStr">
        <is>
          <t>Land</t>
        </is>
      </c>
      <c r="AC94" s="20" t="inlineStr">
        <is>
          <t>Yes</t>
        </is>
      </c>
      <c r="AD94" s="20" t="n"/>
      <c r="AE94" s="20" t="inlineStr">
        <is>
          <t>https://www.mod.go.jp/atla/souhon/supply/jisseki/rakusatu/kohyo_r06/06_zuikei_kijunijo-03.xlsx</t>
        </is>
      </c>
      <c r="AF94" s="20" t="inlineStr">
        <is>
          <t>Official government / procurement record</t>
        </is>
      </c>
      <c r="AG94" s="20" t="inlineStr">
        <is>
          <t>Primary / official</t>
        </is>
      </c>
      <c r="AH94" s="20" t="inlineStr">
        <is>
          <t>High</t>
        </is>
      </c>
      <c r="AI94" s="20" t="inlineStr">
        <is>
          <t xml:space="preserve">Official ATLA contract line. </t>
        </is>
      </c>
      <c r="AJ94" s="20" t="inlineStr">
        <is>
          <t>No</t>
        </is>
      </c>
      <c r="AK94" s="20" t="inlineStr">
        <is>
          <t>No</t>
        </is>
      </c>
      <c r="AL94" s="20" t="inlineStr">
        <is>
          <t>No</t>
        </is>
      </c>
      <c r="AM94" s="20" t="inlineStr">
        <is>
          <t>Yes</t>
        </is>
      </c>
      <c r="AN94" s="20" t="inlineStr">
        <is>
          <t>No</t>
        </is>
      </c>
      <c r="AO94" s="20" t="inlineStr">
        <is>
          <t>Yes</t>
        </is>
      </c>
      <c r="AP94" s="20" t="inlineStr">
        <is>
          <t>Included in Land core</t>
        </is>
      </c>
      <c r="AQ94" s="92" t="n">
        <v>0</v>
      </c>
      <c r="AR94" s="92" t="n">
        <v>0</v>
      </c>
      <c r="AS94" s="92" t="n">
        <v>0</v>
      </c>
      <c r="AT94" s="92" t="n">
        <v>0</v>
      </c>
      <c r="AU94" s="92" t="n">
        <v>0</v>
      </c>
      <c r="AV94" s="92" t="n">
        <v>0</v>
      </c>
      <c r="AW94" s="92" t="n">
        <v>1</v>
      </c>
    </row>
    <row r="95">
      <c r="A95" s="20" t="inlineStr">
        <is>
          <t>SM-0091</t>
        </is>
      </c>
      <c r="B95" s="20" t="inlineStr">
        <is>
          <t>JP-MEDS</t>
        </is>
      </c>
      <c r="C95" s="98" t="inlineStr">
        <is>
          <t>2025-03-24</t>
        </is>
      </c>
      <c r="D95" s="92" t="n">
        <v>2025</v>
      </c>
      <c r="E95" s="20" t="inlineStr">
        <is>
          <t>Japan</t>
        </is>
      </c>
      <c r="F95" s="20" t="inlineStr">
        <is>
          <t>Japan MOD / ATLA / JGSDF</t>
        </is>
      </c>
      <c r="G95" s="20" t="inlineStr">
        <is>
          <t>Japan MOD / JGSDF</t>
        </is>
      </c>
      <c r="H95" s="20" t="inlineStr">
        <is>
          <t>Army / Land</t>
        </is>
      </c>
      <c r="I95" s="20" t="inlineStr">
        <is>
          <t>Nippon Aircraft Supply (NAS)</t>
        </is>
      </c>
      <c r="J95" s="20" t="inlineStr">
        <is>
          <t>NAS / Fibrotex programme team</t>
        </is>
      </c>
      <c r="K95" s="20" t="inlineStr">
        <is>
          <t>Japan</t>
        </is>
      </c>
      <c r="L95" s="20" t="inlineStr">
        <is>
          <t>MEDS — Generic equipment set</t>
        </is>
      </c>
      <c r="M95" s="20" t="inlineStr">
        <is>
          <t>JGSDF land equipment</t>
        </is>
      </c>
      <c r="N95" s="20" t="inlineStr">
        <is>
          <t>Multiple Electromagnetic Disguise Net Set</t>
        </is>
      </c>
      <c r="O95" s="20" t="inlineStr">
        <is>
          <t>Multispectral</t>
        </is>
      </c>
      <c r="P95" s="20" t="inlineStr">
        <is>
          <t>Production order</t>
        </is>
      </c>
      <c r="Q95" s="20" t="inlineStr">
        <is>
          <t>Award</t>
        </is>
      </c>
      <c r="R95" s="20" t="inlineStr">
        <is>
          <t>Yes</t>
        </is>
      </c>
      <c r="S95" s="99" t="inlineStr">
        <is>
          <t>5</t>
        </is>
      </c>
      <c r="T95" s="20" t="inlineStr">
        <is>
          <t>sets</t>
        </is>
      </c>
      <c r="U95" s="20" t="inlineStr">
        <is>
          <t>Contracted sets</t>
        </is>
      </c>
      <c r="V95" s="100" t="inlineStr">
        <is>
          <t>25772340</t>
        </is>
      </c>
      <c r="W95" s="20" t="inlineStr">
        <is>
          <t>JPY</t>
        </is>
      </c>
      <c r="X95" s="20" t="inlineStr">
        <is>
          <t>Signed contract value</t>
        </is>
      </c>
      <c r="Y95" s="20" t="inlineStr">
        <is>
          <t>Obligated / signed if disclosed</t>
        </is>
      </c>
      <c r="Z95" s="20" t="inlineStr">
        <is>
          <t>Yes</t>
        </is>
      </c>
      <c r="AA95" s="20" t="inlineStr">
        <is>
          <t>Production Procurement</t>
        </is>
      </c>
      <c r="AB95" s="20" t="inlineStr">
        <is>
          <t>Land</t>
        </is>
      </c>
      <c r="AC95" s="20" t="inlineStr">
        <is>
          <t>Yes</t>
        </is>
      </c>
      <c r="AD95" s="20" t="n"/>
      <c r="AE95" s="20" t="inlineStr">
        <is>
          <t>https://www.mod.go.jp/atla/souhon/supply/jisseki/rakusatu/kohyo_r06/06_zuikei_kijunijo-03.xlsx</t>
        </is>
      </c>
      <c r="AF95" s="20" t="inlineStr">
        <is>
          <t>Official government / procurement record</t>
        </is>
      </c>
      <c r="AG95" s="20" t="inlineStr">
        <is>
          <t>Primary / official</t>
        </is>
      </c>
      <c r="AH95" s="20" t="inlineStr">
        <is>
          <t>High</t>
        </is>
      </c>
      <c r="AI95" s="20" t="inlineStr">
        <is>
          <t xml:space="preserve">Official ATLA contract line. </t>
        </is>
      </c>
      <c r="AJ95" s="20" t="inlineStr">
        <is>
          <t>No</t>
        </is>
      </c>
      <c r="AK95" s="20" t="inlineStr">
        <is>
          <t>No</t>
        </is>
      </c>
      <c r="AL95" s="20" t="inlineStr">
        <is>
          <t>No</t>
        </is>
      </c>
      <c r="AM95" s="20" t="inlineStr">
        <is>
          <t>Yes</t>
        </is>
      </c>
      <c r="AN95" s="20" t="inlineStr">
        <is>
          <t>No</t>
        </is>
      </c>
      <c r="AO95" s="20" t="inlineStr">
        <is>
          <t>Yes</t>
        </is>
      </c>
      <c r="AP95" s="20" t="inlineStr">
        <is>
          <t>Included in Land core</t>
        </is>
      </c>
      <c r="AQ95" s="92" t="n">
        <v>0</v>
      </c>
      <c r="AR95" s="92" t="n">
        <v>0</v>
      </c>
      <c r="AS95" s="92" t="n">
        <v>0</v>
      </c>
      <c r="AT95" s="92" t="n">
        <v>0</v>
      </c>
      <c r="AU95" s="92" t="n">
        <v>0</v>
      </c>
      <c r="AV95" s="92" t="n">
        <v>0</v>
      </c>
      <c r="AW95" s="92" t="n">
        <v>1</v>
      </c>
    </row>
    <row r="96">
      <c r="A96" s="20" t="inlineStr">
        <is>
          <t>SM-0092</t>
        </is>
      </c>
      <c r="B96" s="20" t="inlineStr">
        <is>
          <t>JP-MEDS</t>
        </is>
      </c>
      <c r="C96" s="98" t="inlineStr">
        <is>
          <t>2025-03-24</t>
        </is>
      </c>
      <c r="D96" s="92" t="n">
        <v>2025</v>
      </c>
      <c r="E96" s="20" t="inlineStr">
        <is>
          <t>Japan</t>
        </is>
      </c>
      <c r="F96" s="20" t="inlineStr">
        <is>
          <t>Japan MOD / ATLA / JGSDF</t>
        </is>
      </c>
      <c r="G96" s="20" t="inlineStr">
        <is>
          <t>Japan MOD / JGSDF</t>
        </is>
      </c>
      <c r="H96" s="20" t="inlineStr">
        <is>
          <t>Army / Land</t>
        </is>
      </c>
      <c r="I96" s="20" t="inlineStr">
        <is>
          <t>Nippon Aircraft Supply (NAS)</t>
        </is>
      </c>
      <c r="J96" s="20" t="inlineStr">
        <is>
          <t>NAS / Fibrotex programme team</t>
        </is>
      </c>
      <c r="K96" s="20" t="inlineStr">
        <is>
          <t>Japan</t>
        </is>
      </c>
      <c r="L96" s="20" t="inlineStr">
        <is>
          <t>MEDS — Guided-weapons equipment</t>
        </is>
      </c>
      <c r="M96" s="20" t="inlineStr">
        <is>
          <t>JGSDF guided-weapons equipment</t>
        </is>
      </c>
      <c r="N96" s="20" t="inlineStr">
        <is>
          <t>Multiple Electromagnetic Disguise Net Set</t>
        </is>
      </c>
      <c r="O96" s="20" t="inlineStr">
        <is>
          <t>Multispectral</t>
        </is>
      </c>
      <c r="P96" s="20" t="inlineStr">
        <is>
          <t>Production order</t>
        </is>
      </c>
      <c r="Q96" s="20" t="inlineStr">
        <is>
          <t>Award</t>
        </is>
      </c>
      <c r="R96" s="20" t="inlineStr">
        <is>
          <t>Yes</t>
        </is>
      </c>
      <c r="S96" s="99" t="inlineStr">
        <is>
          <t>149</t>
        </is>
      </c>
      <c r="T96" s="20" t="inlineStr">
        <is>
          <t>sets</t>
        </is>
      </c>
      <c r="U96" s="20" t="inlineStr">
        <is>
          <t>Contracted sets</t>
        </is>
      </c>
      <c r="V96" s="100" t="inlineStr">
        <is>
          <t>532490200</t>
        </is>
      </c>
      <c r="W96" s="20" t="inlineStr">
        <is>
          <t>JPY</t>
        </is>
      </c>
      <c r="X96" s="20" t="inlineStr">
        <is>
          <t>Signed contract value</t>
        </is>
      </c>
      <c r="Y96" s="20" t="inlineStr">
        <is>
          <t>Obligated / signed if disclosed</t>
        </is>
      </c>
      <c r="Z96" s="20" t="inlineStr">
        <is>
          <t>Yes</t>
        </is>
      </c>
      <c r="AA96" s="20" t="inlineStr">
        <is>
          <t>Production Procurement</t>
        </is>
      </c>
      <c r="AB96" s="20" t="inlineStr">
        <is>
          <t>Land</t>
        </is>
      </c>
      <c r="AC96" s="20" t="inlineStr">
        <is>
          <t>Yes</t>
        </is>
      </c>
      <c r="AD96" s="20" t="n"/>
      <c r="AE96" s="20" t="inlineStr">
        <is>
          <t>https://www.mod.go.jp/atla/souhon/supply/jisseki/rakusatu/kohyo_r06/06_zuikei_kijunijo-03.xlsx</t>
        </is>
      </c>
      <c r="AF96" s="20" t="inlineStr">
        <is>
          <t>Official government / procurement record</t>
        </is>
      </c>
      <c r="AG96" s="20" t="inlineStr">
        <is>
          <t>Primary / official</t>
        </is>
      </c>
      <c r="AH96" s="20" t="inlineStr">
        <is>
          <t>High</t>
        </is>
      </c>
      <c r="AI96" s="20" t="inlineStr">
        <is>
          <t xml:space="preserve">Official ATLA contract line. </t>
        </is>
      </c>
      <c r="AJ96" s="20" t="inlineStr">
        <is>
          <t>No</t>
        </is>
      </c>
      <c r="AK96" s="20" t="inlineStr">
        <is>
          <t>No</t>
        </is>
      </c>
      <c r="AL96" s="20" t="inlineStr">
        <is>
          <t>No</t>
        </is>
      </c>
      <c r="AM96" s="20" t="inlineStr">
        <is>
          <t>Yes</t>
        </is>
      </c>
      <c r="AN96" s="20" t="inlineStr">
        <is>
          <t>No</t>
        </is>
      </c>
      <c r="AO96" s="20" t="inlineStr">
        <is>
          <t>Yes</t>
        </is>
      </c>
      <c r="AP96" s="20" t="inlineStr">
        <is>
          <t>Included in Land core</t>
        </is>
      </c>
      <c r="AQ96" s="92" t="n">
        <v>0</v>
      </c>
      <c r="AR96" s="92" t="n">
        <v>0</v>
      </c>
      <c r="AS96" s="92" t="n">
        <v>0</v>
      </c>
      <c r="AT96" s="92" t="n">
        <v>0</v>
      </c>
      <c r="AU96" s="92" t="n">
        <v>0</v>
      </c>
      <c r="AV96" s="92" t="n">
        <v>0</v>
      </c>
      <c r="AW96" s="92" t="n">
        <v>1</v>
      </c>
    </row>
    <row r="97">
      <c r="A97" s="20" t="inlineStr">
        <is>
          <t>SM-0093</t>
        </is>
      </c>
      <c r="B97" s="20" t="inlineStr">
        <is>
          <t>JP-MEDS</t>
        </is>
      </c>
      <c r="C97" s="98" t="inlineStr">
        <is>
          <t>2025-03-24</t>
        </is>
      </c>
      <c r="D97" s="92" t="n">
        <v>2025</v>
      </c>
      <c r="E97" s="20" t="inlineStr">
        <is>
          <t>Japan</t>
        </is>
      </c>
      <c r="F97" s="20" t="inlineStr">
        <is>
          <t>Japan MOD / ATLA / JGSDF</t>
        </is>
      </c>
      <c r="G97" s="20" t="inlineStr">
        <is>
          <t>Japan MOD / JGSDF</t>
        </is>
      </c>
      <c r="H97" s="20" t="inlineStr">
        <is>
          <t>Army / Land</t>
        </is>
      </c>
      <c r="I97" s="20" t="inlineStr">
        <is>
          <t>Nippon Aircraft Supply (NAS)</t>
        </is>
      </c>
      <c r="J97" s="20" t="inlineStr">
        <is>
          <t>NAS / Fibrotex programme team</t>
        </is>
      </c>
      <c r="K97" s="20" t="inlineStr">
        <is>
          <t>Japan</t>
        </is>
      </c>
      <c r="L97" s="20" t="inlineStr">
        <is>
          <t>MEDS — Medical equipment</t>
        </is>
      </c>
      <c r="M97" s="20" t="inlineStr">
        <is>
          <t>JGSDF land support equipment</t>
        </is>
      </c>
      <c r="N97" s="20" t="inlineStr">
        <is>
          <t>Multiple Electromagnetic Disguise Net Set</t>
        </is>
      </c>
      <c r="O97" s="20" t="inlineStr">
        <is>
          <t>Multispectral</t>
        </is>
      </c>
      <c r="P97" s="20" t="inlineStr">
        <is>
          <t>Production order</t>
        </is>
      </c>
      <c r="Q97" s="20" t="inlineStr">
        <is>
          <t>Award</t>
        </is>
      </c>
      <c r="R97" s="20" t="inlineStr">
        <is>
          <t>Yes</t>
        </is>
      </c>
      <c r="S97" s="99" t="inlineStr">
        <is>
          <t>3</t>
        </is>
      </c>
      <c r="T97" s="20" t="inlineStr">
        <is>
          <t>sets</t>
        </is>
      </c>
      <c r="U97" s="20" t="inlineStr">
        <is>
          <t>Contracted sets</t>
        </is>
      </c>
      <c r="V97" s="100" t="inlineStr">
        <is>
          <t>11946660</t>
        </is>
      </c>
      <c r="W97" s="20" t="inlineStr">
        <is>
          <t>JPY</t>
        </is>
      </c>
      <c r="X97" s="20" t="inlineStr">
        <is>
          <t>Signed contract value</t>
        </is>
      </c>
      <c r="Y97" s="20" t="inlineStr">
        <is>
          <t>Obligated / signed if disclosed</t>
        </is>
      </c>
      <c r="Z97" s="20" t="inlineStr">
        <is>
          <t>Yes</t>
        </is>
      </c>
      <c r="AA97" s="20" t="inlineStr">
        <is>
          <t>Production Procurement</t>
        </is>
      </c>
      <c r="AB97" s="20" t="inlineStr">
        <is>
          <t>Land</t>
        </is>
      </c>
      <c r="AC97" s="20" t="inlineStr">
        <is>
          <t>Yes</t>
        </is>
      </c>
      <c r="AD97" s="20" t="n"/>
      <c r="AE97" s="20" t="inlineStr">
        <is>
          <t>https://www.mod.go.jp/atla/souhon/supply/jisseki/rakusatu/kohyo_r06/06_zuikei_kijunijo-03.xlsx</t>
        </is>
      </c>
      <c r="AF97" s="20" t="inlineStr">
        <is>
          <t>Official government / procurement record</t>
        </is>
      </c>
      <c r="AG97" s="20" t="inlineStr">
        <is>
          <t>Primary / official</t>
        </is>
      </c>
      <c r="AH97" s="20" t="inlineStr">
        <is>
          <t>High</t>
        </is>
      </c>
      <c r="AI97" s="20" t="inlineStr">
        <is>
          <t xml:space="preserve">Official ATLA contract line. </t>
        </is>
      </c>
      <c r="AJ97" s="20" t="inlineStr">
        <is>
          <t>No</t>
        </is>
      </c>
      <c r="AK97" s="20" t="inlineStr">
        <is>
          <t>No</t>
        </is>
      </c>
      <c r="AL97" s="20" t="inlineStr">
        <is>
          <t>No</t>
        </is>
      </c>
      <c r="AM97" s="20" t="inlineStr">
        <is>
          <t>Yes</t>
        </is>
      </c>
      <c r="AN97" s="20" t="inlineStr">
        <is>
          <t>No</t>
        </is>
      </c>
      <c r="AO97" s="20" t="inlineStr">
        <is>
          <t>Yes</t>
        </is>
      </c>
      <c r="AP97" s="20" t="inlineStr">
        <is>
          <t>Included in Land core</t>
        </is>
      </c>
      <c r="AQ97" s="92" t="n">
        <v>0</v>
      </c>
      <c r="AR97" s="92" t="n">
        <v>0</v>
      </c>
      <c r="AS97" s="92" t="n">
        <v>0</v>
      </c>
      <c r="AT97" s="92" t="n">
        <v>0</v>
      </c>
      <c r="AU97" s="92" t="n">
        <v>0</v>
      </c>
      <c r="AV97" s="92" t="n">
        <v>0</v>
      </c>
      <c r="AW97" s="92" t="n">
        <v>1</v>
      </c>
    </row>
    <row r="98">
      <c r="A98" s="20" t="inlineStr">
        <is>
          <t>SM-0094</t>
        </is>
      </c>
      <c r="B98" s="20" t="inlineStr">
        <is>
          <t>JP-MEDS</t>
        </is>
      </c>
      <c r="C98" s="98" t="inlineStr">
        <is>
          <t>2025-03-24</t>
        </is>
      </c>
      <c r="D98" s="92" t="n">
        <v>2025</v>
      </c>
      <c r="E98" s="20" t="inlineStr">
        <is>
          <t>Japan</t>
        </is>
      </c>
      <c r="F98" s="20" t="inlineStr">
        <is>
          <t>Japan MOD / ATLA / JGSDF</t>
        </is>
      </c>
      <c r="G98" s="20" t="inlineStr">
        <is>
          <t>Japan MOD / JGSDF</t>
        </is>
      </c>
      <c r="H98" s="20" t="inlineStr">
        <is>
          <t>Army / Land</t>
        </is>
      </c>
      <c r="I98" s="20" t="inlineStr">
        <is>
          <t>Nippon Aircraft Supply (NAS)</t>
        </is>
      </c>
      <c r="J98" s="20" t="inlineStr">
        <is>
          <t>NAS / Fibrotex programme team</t>
        </is>
      </c>
      <c r="K98" s="20" t="inlineStr">
        <is>
          <t>Japan</t>
        </is>
      </c>
      <c r="L98" s="20" t="inlineStr">
        <is>
          <t>MEDS — Verification set</t>
        </is>
      </c>
      <c r="M98" s="20" t="inlineStr">
        <is>
          <t>JGSDF land equipment</t>
        </is>
      </c>
      <c r="N98" s="20" t="inlineStr">
        <is>
          <t>Multiple Electromagnetic Disguise Net Set</t>
        </is>
      </c>
      <c r="O98" s="20" t="inlineStr">
        <is>
          <t>Multispectral</t>
        </is>
      </c>
      <c r="P98" s="20" t="inlineStr">
        <is>
          <t>Verification / validation contract</t>
        </is>
      </c>
      <c r="Q98" s="20" t="inlineStr">
        <is>
          <t>Validation</t>
        </is>
      </c>
      <c r="R98" s="20" t="inlineStr">
        <is>
          <t>No</t>
        </is>
      </c>
      <c r="S98" s="99" t="inlineStr">
        <is>
          <t>1</t>
        </is>
      </c>
      <c r="T98" s="20" t="inlineStr">
        <is>
          <t>sets</t>
        </is>
      </c>
      <c r="U98" s="20" t="inlineStr">
        <is>
          <t>Validation sets</t>
        </is>
      </c>
      <c r="V98" s="100" t="inlineStr">
        <is>
          <t>5752230</t>
        </is>
      </c>
      <c r="W98" s="20" t="inlineStr">
        <is>
          <t>JPY</t>
        </is>
      </c>
      <c r="X98" s="20" t="inlineStr">
        <is>
          <t>Signed contract value</t>
        </is>
      </c>
      <c r="Y98" s="20" t="inlineStr">
        <is>
          <t>Obligated / signed if disclosed</t>
        </is>
      </c>
      <c r="Z98" s="20" t="inlineStr">
        <is>
          <t>No</t>
        </is>
      </c>
      <c r="AA98" s="20" t="inlineStr">
        <is>
          <t>Development / Validation</t>
        </is>
      </c>
      <c r="AB98" s="20" t="inlineStr">
        <is>
          <t>Land</t>
        </is>
      </c>
      <c r="AC98" s="20" t="inlineStr">
        <is>
          <t>Yes</t>
        </is>
      </c>
      <c r="AD98" s="20" t="n"/>
      <c r="AE98" s="20" t="inlineStr">
        <is>
          <t>https://www.mod.go.jp/atla/souhon/supply/jisseki/rakusatu/kohyo_r06/06_zuikei_kijunijo-03.xlsx</t>
        </is>
      </c>
      <c r="AF98" s="20" t="inlineStr">
        <is>
          <t>Official government / procurement record</t>
        </is>
      </c>
      <c r="AG98" s="20" t="inlineStr">
        <is>
          <t>Primary / official</t>
        </is>
      </c>
      <c r="AH98" s="20" t="inlineStr">
        <is>
          <t>High</t>
        </is>
      </c>
      <c r="AI98" s="20" t="inlineStr">
        <is>
          <t>Official ATLA contract line. Verification/validation contract; not a production order.</t>
        </is>
      </c>
      <c r="AJ98" s="20" t="inlineStr">
        <is>
          <t>No</t>
        </is>
      </c>
      <c r="AK98" s="20" t="inlineStr">
        <is>
          <t>No</t>
        </is>
      </c>
      <c r="AL98" s="20" t="inlineStr">
        <is>
          <t>No</t>
        </is>
      </c>
      <c r="AM98" s="20" t="inlineStr">
        <is>
          <t>Yes</t>
        </is>
      </c>
      <c r="AN98" s="20" t="inlineStr">
        <is>
          <t>No</t>
        </is>
      </c>
      <c r="AO98" s="20" t="inlineStr">
        <is>
          <t>Yes</t>
        </is>
      </c>
      <c r="AP98" s="20" t="inlineStr">
        <is>
          <t>Included in Land core</t>
        </is>
      </c>
      <c r="AQ98" s="92" t="n">
        <v>0</v>
      </c>
      <c r="AR98" s="92" t="n">
        <v>0</v>
      </c>
      <c r="AS98" s="92" t="n">
        <v>0</v>
      </c>
      <c r="AT98" s="92" t="n">
        <v>0</v>
      </c>
      <c r="AU98" s="92" t="n">
        <v>0</v>
      </c>
      <c r="AV98" s="92" t="n">
        <v>0</v>
      </c>
      <c r="AW98" s="92" t="n">
        <v>0</v>
      </c>
    </row>
    <row r="99">
      <c r="A99" s="20" t="inlineStr">
        <is>
          <t>SM-0095</t>
        </is>
      </c>
      <c r="B99" s="20" t="inlineStr">
        <is>
          <t>JP-MEDS</t>
        </is>
      </c>
      <c r="C99" s="98" t="inlineStr">
        <is>
          <t>2025-03-24</t>
        </is>
      </c>
      <c r="D99" s="92" t="n">
        <v>2025</v>
      </c>
      <c r="E99" s="20" t="inlineStr">
        <is>
          <t>Japan</t>
        </is>
      </c>
      <c r="F99" s="20" t="inlineStr">
        <is>
          <t>Japan MOD / ATLA / JGSDF</t>
        </is>
      </c>
      <c r="G99" s="20" t="inlineStr">
        <is>
          <t>Japan MOD / JGSDF</t>
        </is>
      </c>
      <c r="H99" s="20" t="inlineStr">
        <is>
          <t>Army / Land</t>
        </is>
      </c>
      <c r="I99" s="20" t="inlineStr">
        <is>
          <t>Nippon Aircraft Supply (NAS)</t>
        </is>
      </c>
      <c r="J99" s="20" t="inlineStr">
        <is>
          <t>NAS / Fibrotex programme team</t>
        </is>
      </c>
      <c r="K99" s="20" t="inlineStr">
        <is>
          <t>Japan</t>
        </is>
      </c>
      <c r="L99" s="20" t="inlineStr">
        <is>
          <t>MEDS — Verification sets</t>
        </is>
      </c>
      <c r="M99" s="20" t="inlineStr">
        <is>
          <t>JGSDF land equipment</t>
        </is>
      </c>
      <c r="N99" s="20" t="inlineStr">
        <is>
          <t>Multiple Electromagnetic Disguise Net Set</t>
        </is>
      </c>
      <c r="O99" s="20" t="inlineStr">
        <is>
          <t>Multispectral</t>
        </is>
      </c>
      <c r="P99" s="20" t="inlineStr">
        <is>
          <t>Verification / validation contract</t>
        </is>
      </c>
      <c r="Q99" s="20" t="inlineStr">
        <is>
          <t>Validation</t>
        </is>
      </c>
      <c r="R99" s="20" t="inlineStr">
        <is>
          <t>No</t>
        </is>
      </c>
      <c r="S99" s="99" t="inlineStr">
        <is>
          <t>6</t>
        </is>
      </c>
      <c r="T99" s="20" t="inlineStr">
        <is>
          <t>sets</t>
        </is>
      </c>
      <c r="U99" s="20" t="inlineStr">
        <is>
          <t>Validation sets</t>
        </is>
      </c>
      <c r="V99" s="100" t="inlineStr">
        <is>
          <t>30910660</t>
        </is>
      </c>
      <c r="W99" s="20" t="inlineStr">
        <is>
          <t>JPY</t>
        </is>
      </c>
      <c r="X99" s="20" t="inlineStr">
        <is>
          <t>Signed contract value</t>
        </is>
      </c>
      <c r="Y99" s="20" t="inlineStr">
        <is>
          <t>Obligated / signed if disclosed</t>
        </is>
      </c>
      <c r="Z99" s="20" t="inlineStr">
        <is>
          <t>No</t>
        </is>
      </c>
      <c r="AA99" s="20" t="inlineStr">
        <is>
          <t>Development / Validation</t>
        </is>
      </c>
      <c r="AB99" s="20" t="inlineStr">
        <is>
          <t>Land</t>
        </is>
      </c>
      <c r="AC99" s="20" t="inlineStr">
        <is>
          <t>Yes</t>
        </is>
      </c>
      <c r="AD99" s="20" t="n"/>
      <c r="AE99" s="20" t="inlineStr">
        <is>
          <t>https://www.mod.go.jp/atla/souhon/supply/jisseki/rakusatu/kohyo_r06/06_zuikei_kijunijo-03.xlsx</t>
        </is>
      </c>
      <c r="AF99" s="20" t="inlineStr">
        <is>
          <t>Official government / procurement record</t>
        </is>
      </c>
      <c r="AG99" s="20" t="inlineStr">
        <is>
          <t>Primary / official</t>
        </is>
      </c>
      <c r="AH99" s="20" t="inlineStr">
        <is>
          <t>High</t>
        </is>
      </c>
      <c r="AI99" s="20" t="inlineStr">
        <is>
          <t>Official ATLA contract line. Separate verification requirement; not production procurement.</t>
        </is>
      </c>
      <c r="AJ99" s="20" t="inlineStr">
        <is>
          <t>No</t>
        </is>
      </c>
      <c r="AK99" s="20" t="inlineStr">
        <is>
          <t>No</t>
        </is>
      </c>
      <c r="AL99" s="20" t="inlineStr">
        <is>
          <t>No</t>
        </is>
      </c>
      <c r="AM99" s="20" t="inlineStr">
        <is>
          <t>Yes</t>
        </is>
      </c>
      <c r="AN99" s="20" t="inlineStr">
        <is>
          <t>No</t>
        </is>
      </c>
      <c r="AO99" s="20" t="inlineStr">
        <is>
          <t>Yes</t>
        </is>
      </c>
      <c r="AP99" s="20" t="inlineStr">
        <is>
          <t>Included in Land core</t>
        </is>
      </c>
      <c r="AQ99" s="92" t="n">
        <v>0</v>
      </c>
      <c r="AR99" s="92" t="n">
        <v>0</v>
      </c>
      <c r="AS99" s="92" t="n">
        <v>0</v>
      </c>
      <c r="AT99" s="92" t="n">
        <v>0</v>
      </c>
      <c r="AU99" s="92" t="n">
        <v>0</v>
      </c>
      <c r="AV99" s="92" t="n">
        <v>0</v>
      </c>
      <c r="AW99" s="92" t="n">
        <v>0</v>
      </c>
    </row>
    <row r="100">
      <c r="A100" s="20" t="inlineStr">
        <is>
          <t>SM-0096</t>
        </is>
      </c>
      <c r="B100" s="20" t="inlineStr">
        <is>
          <t>JP-MEDS</t>
        </is>
      </c>
      <c r="C100" s="98" t="inlineStr">
        <is>
          <t>2025-03-26</t>
        </is>
      </c>
      <c r="D100" s="92" t="n">
        <v>2025</v>
      </c>
      <c r="E100" s="20" t="inlineStr">
        <is>
          <t>Japan</t>
        </is>
      </c>
      <c r="F100" s="20" t="inlineStr">
        <is>
          <t>Japan MOD / ATLA / JGSDF</t>
        </is>
      </c>
      <c r="G100" s="20" t="inlineStr">
        <is>
          <t>Japan MOD / JGSDF</t>
        </is>
      </c>
      <c r="H100" s="20" t="inlineStr">
        <is>
          <t>Army / Land</t>
        </is>
      </c>
      <c r="I100" s="20" t="inlineStr">
        <is>
          <t>Nippon Aircraft Supply (NAS)</t>
        </is>
      </c>
      <c r="J100" s="20" t="inlineStr">
        <is>
          <t>NAS / Fibrotex programme team</t>
        </is>
      </c>
      <c r="K100" s="20" t="inlineStr">
        <is>
          <t>Japan</t>
        </is>
      </c>
      <c r="L100" s="20" t="inlineStr">
        <is>
          <t>MEDS — Communications / electronics equipment</t>
        </is>
      </c>
      <c r="M100" s="20" t="inlineStr">
        <is>
          <t>JGSDF communications equipment</t>
        </is>
      </c>
      <c r="N100" s="20" t="inlineStr">
        <is>
          <t>Multiple Electromagnetic Disguise Net Set</t>
        </is>
      </c>
      <c r="O100" s="20" t="inlineStr">
        <is>
          <t>Multispectral</t>
        </is>
      </c>
      <c r="P100" s="20" t="inlineStr">
        <is>
          <t>Production order</t>
        </is>
      </c>
      <c r="Q100" s="20" t="inlineStr">
        <is>
          <t>Award</t>
        </is>
      </c>
      <c r="R100" s="20" t="inlineStr">
        <is>
          <t>Yes</t>
        </is>
      </c>
      <c r="S100" s="99" t="inlineStr">
        <is>
          <t>46</t>
        </is>
      </c>
      <c r="T100" s="20" t="inlineStr">
        <is>
          <t>sets</t>
        </is>
      </c>
      <c r="U100" s="20" t="inlineStr">
        <is>
          <t>Contracted sets</t>
        </is>
      </c>
      <c r="V100" s="100" t="inlineStr">
        <is>
          <t>157706560</t>
        </is>
      </c>
      <c r="W100" s="20" t="inlineStr">
        <is>
          <t>JPY</t>
        </is>
      </c>
      <c r="X100" s="20" t="inlineStr">
        <is>
          <t>Signed contract value</t>
        </is>
      </c>
      <c r="Y100" s="20" t="inlineStr">
        <is>
          <t>Obligated / signed if disclosed</t>
        </is>
      </c>
      <c r="Z100" s="20" t="inlineStr">
        <is>
          <t>Yes</t>
        </is>
      </c>
      <c r="AA100" s="20" t="inlineStr">
        <is>
          <t>Production Procurement</t>
        </is>
      </c>
      <c r="AB100" s="20" t="inlineStr">
        <is>
          <t>Land</t>
        </is>
      </c>
      <c r="AC100" s="20" t="inlineStr">
        <is>
          <t>Yes</t>
        </is>
      </c>
      <c r="AD100" s="20" t="n"/>
      <c r="AE100" s="20" t="inlineStr">
        <is>
          <t>https://www.mod.go.jp/atla/souhon/supply/jisseki/rakusatu/kohyo_r06/06_zuikei_kijunijo-03.xlsx</t>
        </is>
      </c>
      <c r="AF100" s="20" t="inlineStr">
        <is>
          <t>Official government / procurement record</t>
        </is>
      </c>
      <c r="AG100" s="20" t="inlineStr">
        <is>
          <t>Primary / official</t>
        </is>
      </c>
      <c r="AH100" s="20" t="inlineStr">
        <is>
          <t>High</t>
        </is>
      </c>
      <c r="AI100" s="20" t="inlineStr">
        <is>
          <t xml:space="preserve">Official ATLA contract line. </t>
        </is>
      </c>
      <c r="AJ100" s="20" t="inlineStr">
        <is>
          <t>No</t>
        </is>
      </c>
      <c r="AK100" s="20" t="inlineStr">
        <is>
          <t>No</t>
        </is>
      </c>
      <c r="AL100" s="20" t="inlineStr">
        <is>
          <t>No</t>
        </is>
      </c>
      <c r="AM100" s="20" t="inlineStr">
        <is>
          <t>Yes</t>
        </is>
      </c>
      <c r="AN100" s="20" t="inlineStr">
        <is>
          <t>No</t>
        </is>
      </c>
      <c r="AO100" s="20" t="inlineStr">
        <is>
          <t>Yes</t>
        </is>
      </c>
      <c r="AP100" s="20" t="inlineStr">
        <is>
          <t>Included in Land core</t>
        </is>
      </c>
      <c r="AQ100" s="92" t="n">
        <v>0</v>
      </c>
      <c r="AR100" s="92" t="n">
        <v>0</v>
      </c>
      <c r="AS100" s="92" t="n">
        <v>0</v>
      </c>
      <c r="AT100" s="92" t="n">
        <v>0</v>
      </c>
      <c r="AU100" s="92" t="n">
        <v>0</v>
      </c>
      <c r="AV100" s="92" t="n">
        <v>0</v>
      </c>
      <c r="AW100" s="92" t="n">
        <v>1</v>
      </c>
    </row>
    <row r="101">
      <c r="A101" s="20" t="inlineStr">
        <is>
          <t>SM-0097</t>
        </is>
      </c>
      <c r="B101" s="20" t="inlineStr">
        <is>
          <t>JP-MEDS</t>
        </is>
      </c>
      <c r="C101" s="98" t="inlineStr">
        <is>
          <t>2025-03-26</t>
        </is>
      </c>
      <c r="D101" s="92" t="n">
        <v>2025</v>
      </c>
      <c r="E101" s="20" t="inlineStr">
        <is>
          <t>Japan</t>
        </is>
      </c>
      <c r="F101" s="20" t="inlineStr">
        <is>
          <t>Japan MOD / ATLA / JGSDF</t>
        </is>
      </c>
      <c r="G101" s="20" t="inlineStr">
        <is>
          <t>Japan MOD / JGSDF</t>
        </is>
      </c>
      <c r="H101" s="20" t="inlineStr">
        <is>
          <t>Army / Land</t>
        </is>
      </c>
      <c r="I101" s="20" t="inlineStr">
        <is>
          <t>Nippon Aircraft Supply (NAS)</t>
        </is>
      </c>
      <c r="J101" s="20" t="inlineStr">
        <is>
          <t>NAS / Fibrotex programme team</t>
        </is>
      </c>
      <c r="K101" s="20" t="inlineStr">
        <is>
          <t>Japan</t>
        </is>
      </c>
      <c r="L101" s="20" t="inlineStr">
        <is>
          <t>MEDS — Communications / electronics equipment</t>
        </is>
      </c>
      <c r="M101" s="20" t="inlineStr">
        <is>
          <t>JGSDF communications equipment</t>
        </is>
      </c>
      <c r="N101" s="20" t="inlineStr">
        <is>
          <t>Multiple Electromagnetic Disguise Net Set</t>
        </is>
      </c>
      <c r="O101" s="20" t="inlineStr">
        <is>
          <t>Multispectral</t>
        </is>
      </c>
      <c r="P101" s="20" t="inlineStr">
        <is>
          <t>Production order</t>
        </is>
      </c>
      <c r="Q101" s="20" t="inlineStr">
        <is>
          <t>Award</t>
        </is>
      </c>
      <c r="R101" s="20" t="inlineStr">
        <is>
          <t>Yes</t>
        </is>
      </c>
      <c r="S101" s="99" t="inlineStr">
        <is>
          <t>53</t>
        </is>
      </c>
      <c r="T101" s="20" t="inlineStr">
        <is>
          <t>sets</t>
        </is>
      </c>
      <c r="U101" s="20" t="inlineStr">
        <is>
          <t>Contracted sets</t>
        </is>
      </c>
      <c r="V101" s="100" t="inlineStr">
        <is>
          <t>165182930</t>
        </is>
      </c>
      <c r="W101" s="20" t="inlineStr">
        <is>
          <t>JPY</t>
        </is>
      </c>
      <c r="X101" s="20" t="inlineStr">
        <is>
          <t>Signed contract value</t>
        </is>
      </c>
      <c r="Y101" s="20" t="inlineStr">
        <is>
          <t>Obligated / signed if disclosed</t>
        </is>
      </c>
      <c r="Z101" s="20" t="inlineStr">
        <is>
          <t>Yes</t>
        </is>
      </c>
      <c r="AA101" s="20" t="inlineStr">
        <is>
          <t>Production Procurement</t>
        </is>
      </c>
      <c r="AB101" s="20" t="inlineStr">
        <is>
          <t>Land</t>
        </is>
      </c>
      <c r="AC101" s="20" t="inlineStr">
        <is>
          <t>Yes</t>
        </is>
      </c>
      <c r="AD101" s="20" t="n"/>
      <c r="AE101" s="20" t="inlineStr">
        <is>
          <t>https://www.mod.go.jp/atla/souhon/supply/jisseki/rakusatu/kohyo_r06/06_zuikei_kijunijo-03.xlsx</t>
        </is>
      </c>
      <c r="AF101" s="20" t="inlineStr">
        <is>
          <t>Official government / procurement record</t>
        </is>
      </c>
      <c r="AG101" s="20" t="inlineStr">
        <is>
          <t>Primary / official</t>
        </is>
      </c>
      <c r="AH101" s="20" t="inlineStr">
        <is>
          <t>High</t>
        </is>
      </c>
      <c r="AI101" s="20" t="inlineStr">
        <is>
          <t xml:space="preserve">Official ATLA contract line. </t>
        </is>
      </c>
      <c r="AJ101" s="20" t="inlineStr">
        <is>
          <t>No</t>
        </is>
      </c>
      <c r="AK101" s="20" t="inlineStr">
        <is>
          <t>No</t>
        </is>
      </c>
      <c r="AL101" s="20" t="inlineStr">
        <is>
          <t>No</t>
        </is>
      </c>
      <c r="AM101" s="20" t="inlineStr">
        <is>
          <t>Yes</t>
        </is>
      </c>
      <c r="AN101" s="20" t="inlineStr">
        <is>
          <t>No</t>
        </is>
      </c>
      <c r="AO101" s="20" t="inlineStr">
        <is>
          <t>Yes</t>
        </is>
      </c>
      <c r="AP101" s="20" t="inlineStr">
        <is>
          <t>Included in Land core</t>
        </is>
      </c>
      <c r="AQ101" s="92" t="n">
        <v>0</v>
      </c>
      <c r="AR101" s="92" t="n">
        <v>0</v>
      </c>
      <c r="AS101" s="92" t="n">
        <v>0</v>
      </c>
      <c r="AT101" s="92" t="n">
        <v>0</v>
      </c>
      <c r="AU101" s="92" t="n">
        <v>0</v>
      </c>
      <c r="AV101" s="92" t="n">
        <v>0</v>
      </c>
      <c r="AW101" s="92" t="n">
        <v>1</v>
      </c>
    </row>
    <row r="102">
      <c r="A102" s="20" t="inlineStr">
        <is>
          <t>SM-0098</t>
        </is>
      </c>
      <c r="B102" s="20" t="inlineStr">
        <is>
          <t>JP-MEDS</t>
        </is>
      </c>
      <c r="C102" s="98" t="inlineStr">
        <is>
          <t>2025-03-26</t>
        </is>
      </c>
      <c r="D102" s="92" t="n">
        <v>2025</v>
      </c>
      <c r="E102" s="20" t="inlineStr">
        <is>
          <t>Japan</t>
        </is>
      </c>
      <c r="F102" s="20" t="inlineStr">
        <is>
          <t>Japan MOD / ATLA / JGSDF</t>
        </is>
      </c>
      <c r="G102" s="20" t="inlineStr">
        <is>
          <t>Japan MOD / JGSDF</t>
        </is>
      </c>
      <c r="H102" s="20" t="inlineStr">
        <is>
          <t>Army / Land</t>
        </is>
      </c>
      <c r="I102" s="20" t="inlineStr">
        <is>
          <t>Nippon Aircraft Supply (NAS)</t>
        </is>
      </c>
      <c r="J102" s="20" t="inlineStr">
        <is>
          <t>NAS / Fibrotex programme team</t>
        </is>
      </c>
      <c r="K102" s="20" t="inlineStr">
        <is>
          <t>Japan</t>
        </is>
      </c>
      <c r="L102" s="20" t="inlineStr">
        <is>
          <t>MEDS — Generic equipment set</t>
        </is>
      </c>
      <c r="M102" s="20" t="inlineStr">
        <is>
          <t>JGSDF land equipment</t>
        </is>
      </c>
      <c r="N102" s="20" t="inlineStr">
        <is>
          <t>Multiple Electromagnetic Disguise Net Set</t>
        </is>
      </c>
      <c r="O102" s="20" t="inlineStr">
        <is>
          <t>Multispectral</t>
        </is>
      </c>
      <c r="P102" s="20" t="inlineStr">
        <is>
          <t>Production order</t>
        </is>
      </c>
      <c r="Q102" s="20" t="inlineStr">
        <is>
          <t>Award</t>
        </is>
      </c>
      <c r="R102" s="20" t="inlineStr">
        <is>
          <t>Yes</t>
        </is>
      </c>
      <c r="S102" s="99" t="inlineStr">
        <is>
          <t>2474</t>
        </is>
      </c>
      <c r="T102" s="20" t="inlineStr">
        <is>
          <t>sets</t>
        </is>
      </c>
      <c r="U102" s="20" t="inlineStr">
        <is>
          <t>Contracted sets</t>
        </is>
      </c>
      <c r="V102" s="100" t="inlineStr">
        <is>
          <t>7944314180</t>
        </is>
      </c>
      <c r="W102" s="20" t="inlineStr">
        <is>
          <t>JPY</t>
        </is>
      </c>
      <c r="X102" s="20" t="inlineStr">
        <is>
          <t>Signed contract value</t>
        </is>
      </c>
      <c r="Y102" s="20" t="inlineStr">
        <is>
          <t>Obligated / signed if disclosed</t>
        </is>
      </c>
      <c r="Z102" s="20" t="inlineStr">
        <is>
          <t>Yes</t>
        </is>
      </c>
      <c r="AA102" s="20" t="inlineStr">
        <is>
          <t>Production Procurement</t>
        </is>
      </c>
      <c r="AB102" s="20" t="inlineStr">
        <is>
          <t>Land</t>
        </is>
      </c>
      <c r="AC102" s="20" t="inlineStr">
        <is>
          <t>Yes</t>
        </is>
      </c>
      <c r="AD102" s="20" t="n"/>
      <c r="AE102" s="20" t="inlineStr">
        <is>
          <t>https://www.mod.go.jp/atla/souhon/supply/jisseki/rakusatu/kohyo_r06/06_zuikei_kijunijo-03.xlsx</t>
        </is>
      </c>
      <c r="AF102" s="20" t="inlineStr">
        <is>
          <t>Official government / procurement record</t>
        </is>
      </c>
      <c r="AG102" s="20" t="inlineStr">
        <is>
          <t>Primary / official</t>
        </is>
      </c>
      <c r="AH102" s="20" t="inlineStr">
        <is>
          <t>High</t>
        </is>
      </c>
      <c r="AI102" s="20" t="inlineStr">
        <is>
          <t xml:space="preserve">Official ATLA contract line. </t>
        </is>
      </c>
      <c r="AJ102" s="20" t="inlineStr">
        <is>
          <t>No</t>
        </is>
      </c>
      <c r="AK102" s="20" t="inlineStr">
        <is>
          <t>No</t>
        </is>
      </c>
      <c r="AL102" s="20" t="inlineStr">
        <is>
          <t>No</t>
        </is>
      </c>
      <c r="AM102" s="20" t="inlineStr">
        <is>
          <t>Yes</t>
        </is>
      </c>
      <c r="AN102" s="20" t="inlineStr">
        <is>
          <t>No</t>
        </is>
      </c>
      <c r="AO102" s="20" t="inlineStr">
        <is>
          <t>Yes</t>
        </is>
      </c>
      <c r="AP102" s="20" t="inlineStr">
        <is>
          <t>Included in Land core</t>
        </is>
      </c>
      <c r="AQ102" s="92" t="n">
        <v>0</v>
      </c>
      <c r="AR102" s="92" t="n">
        <v>0</v>
      </c>
      <c r="AS102" s="92" t="n">
        <v>0</v>
      </c>
      <c r="AT102" s="92" t="n">
        <v>0</v>
      </c>
      <c r="AU102" s="92" t="n">
        <v>0</v>
      </c>
      <c r="AV102" s="92" t="n">
        <v>0</v>
      </c>
      <c r="AW102" s="92" t="n">
        <v>1</v>
      </c>
    </row>
    <row r="103">
      <c r="A103" s="20" t="inlineStr">
        <is>
          <t>SM-0099</t>
        </is>
      </c>
      <c r="B103" s="20" t="inlineStr">
        <is>
          <t>JP-MEDS</t>
        </is>
      </c>
      <c r="C103" s="98" t="inlineStr">
        <is>
          <t>2025-03-27</t>
        </is>
      </c>
      <c r="D103" s="92" t="n">
        <v>2025</v>
      </c>
      <c r="E103" s="20" t="inlineStr">
        <is>
          <t>Japan</t>
        </is>
      </c>
      <c r="F103" s="20" t="inlineStr">
        <is>
          <t>Japan MOD / ATLA</t>
        </is>
      </c>
      <c r="G103" s="20" t="inlineStr">
        <is>
          <t>Japan MOD / JGSDF</t>
        </is>
      </c>
      <c r="H103" s="20" t="inlineStr">
        <is>
          <t>Air Force / Aviation</t>
        </is>
      </c>
      <c r="I103" s="20" t="inlineStr">
        <is>
          <t>Nippon Aircraft Supply (NAS); MEDS linked to Fibrotex technology</t>
        </is>
      </c>
      <c r="J103" s="20" t="inlineStr">
        <is>
          <t>NAS / Fibrotex programme team</t>
        </is>
      </c>
      <c r="K103" s="20" t="inlineStr">
        <is>
          <t>Japan</t>
        </is>
      </c>
      <c r="L103" s="20" t="inlineStr">
        <is>
          <t>MEDS — aviation equipment</t>
        </is>
      </c>
      <c r="M103" s="20" t="inlineStr">
        <is>
          <t>Aviation equipment</t>
        </is>
      </c>
      <c r="N103" s="20" t="inlineStr">
        <is>
          <t>Multiple Electromagnetic Disguise Net Set (aviation equipment)</t>
        </is>
      </c>
      <c r="O103" s="20" t="inlineStr">
        <is>
          <t>MEDS multispectral family</t>
        </is>
      </c>
      <c r="P103" s="20" t="inlineStr">
        <is>
          <t>Contract</t>
        </is>
      </c>
      <c r="Q103" s="20" t="inlineStr">
        <is>
          <t>Award</t>
        </is>
      </c>
      <c r="R103" s="20" t="inlineStr">
        <is>
          <t>Yes</t>
        </is>
      </c>
      <c r="S103" s="99" t="inlineStr">
        <is>
          <t>16</t>
        </is>
      </c>
      <c r="T103" s="20" t="inlineStr">
        <is>
          <t>sets</t>
        </is>
      </c>
      <c r="U103" s="20" t="inlineStr">
        <is>
          <t>Contracted sets</t>
        </is>
      </c>
      <c r="V103" s="100" t="inlineStr">
        <is>
          <t>210067220</t>
        </is>
      </c>
      <c r="W103" s="20" t="inlineStr">
        <is>
          <t>JPY</t>
        </is>
      </c>
      <c r="X103" s="20" t="inlineStr">
        <is>
          <t>Signed contract value</t>
        </is>
      </c>
      <c r="Y103" s="20" t="inlineStr">
        <is>
          <t>Obligated / signed if disclosed</t>
        </is>
      </c>
      <c r="Z103" s="20" t="inlineStr">
        <is>
          <t>No</t>
        </is>
      </c>
      <c r="AA103" s="20" t="inlineStr">
        <is>
          <t>Production Procurement</t>
        </is>
      </c>
      <c r="AB103" s="20" t="inlineStr">
        <is>
          <t>Aviation</t>
        </is>
      </c>
      <c r="AC103" s="20" t="inlineStr">
        <is>
          <t>No</t>
        </is>
      </c>
      <c r="AD103" s="20" t="inlineStr">
        <is>
          <t>Aviation-only</t>
        </is>
      </c>
      <c r="AE103" s="20" t="inlineStr">
        <is>
          <t>https://www.mod.go.jp/atla/souhon/supply/jisseki/rakusatu/kohyo_r06/06_zuikei_kijunijo-03.xlsx</t>
        </is>
      </c>
      <c r="AF103" s="20" t="inlineStr">
        <is>
          <t>Official Japan MOD / ATLA contract record</t>
        </is>
      </c>
      <c r="AG103" s="20" t="inlineStr">
        <is>
          <t>Primary / official</t>
        </is>
      </c>
      <c r="AH103" s="20" t="inlineStr">
        <is>
          <t>High</t>
        </is>
      </c>
      <c r="AI103" s="20" t="inlineStr">
        <is>
          <t>Exclude from land-platform momentum counts; retain as contextual MEDS programme evidence.</t>
        </is>
      </c>
      <c r="AJ103" s="20" t="inlineStr">
        <is>
          <t>No</t>
        </is>
      </c>
      <c r="AK103" s="20" t="inlineStr">
        <is>
          <t>No</t>
        </is>
      </c>
      <c r="AL103" s="20" t="inlineStr">
        <is>
          <t>No</t>
        </is>
      </c>
      <c r="AM103" s="20" t="inlineStr">
        <is>
          <t>Yes</t>
        </is>
      </c>
      <c r="AN103" s="20" t="inlineStr">
        <is>
          <t>No</t>
        </is>
      </c>
      <c r="AO103" s="20" t="inlineStr">
        <is>
          <t>Yes</t>
        </is>
      </c>
      <c r="AP103" s="20" t="inlineStr">
        <is>
          <t>Retained as contextual; excluded from Land core</t>
        </is>
      </c>
      <c r="AQ103" s="92" t="n">
        <v>0</v>
      </c>
      <c r="AR103" s="92" t="n">
        <v>0</v>
      </c>
      <c r="AS103" s="92" t="n">
        <v>0</v>
      </c>
      <c r="AT103" s="92" t="n">
        <v>0</v>
      </c>
      <c r="AU103" s="92" t="n">
        <v>0</v>
      </c>
      <c r="AV103" s="92" t="n">
        <v>0</v>
      </c>
      <c r="AW103" s="92" t="n">
        <v>0</v>
      </c>
    </row>
    <row r="104">
      <c r="A104" s="20" t="inlineStr">
        <is>
          <t>SM-0100</t>
        </is>
      </c>
      <c r="B104" s="20" t="inlineStr">
        <is>
          <t>JP-MEDS</t>
        </is>
      </c>
      <c r="C104" s="98" t="inlineStr">
        <is>
          <t>2025-03-27</t>
        </is>
      </c>
      <c r="D104" s="92" t="n">
        <v>2025</v>
      </c>
      <c r="E104" s="20" t="inlineStr">
        <is>
          <t>Japan</t>
        </is>
      </c>
      <c r="F104" s="20" t="inlineStr">
        <is>
          <t>Japan MOD / ATLA / JGSDF</t>
        </is>
      </c>
      <c r="G104" s="20" t="inlineStr">
        <is>
          <t>Japan MOD / JGSDF</t>
        </is>
      </c>
      <c r="H104" s="20" t="inlineStr">
        <is>
          <t>Army / Land</t>
        </is>
      </c>
      <c r="I104" s="20" t="inlineStr">
        <is>
          <t>Nippon Aircraft Supply (NAS)</t>
        </is>
      </c>
      <c r="J104" s="20" t="inlineStr">
        <is>
          <t>NAS / Fibrotex programme team</t>
        </is>
      </c>
      <c r="K104" s="20" t="inlineStr">
        <is>
          <t>Japan</t>
        </is>
      </c>
      <c r="L104" s="20" t="inlineStr">
        <is>
          <t>MEDS — Guided-weapons equipment</t>
        </is>
      </c>
      <c r="M104" s="20" t="inlineStr">
        <is>
          <t>JGSDF guided-weapons equipment</t>
        </is>
      </c>
      <c r="N104" s="20" t="inlineStr">
        <is>
          <t>Multiple Electromagnetic Disguise Net Set</t>
        </is>
      </c>
      <c r="O104" s="20" t="inlineStr">
        <is>
          <t>Multispectral</t>
        </is>
      </c>
      <c r="P104" s="20" t="inlineStr">
        <is>
          <t>Production order</t>
        </is>
      </c>
      <c r="Q104" s="20" t="inlineStr">
        <is>
          <t>Award</t>
        </is>
      </c>
      <c r="R104" s="20" t="inlineStr">
        <is>
          <t>Yes</t>
        </is>
      </c>
      <c r="S104" s="99" t="inlineStr">
        <is>
          <t>56</t>
        </is>
      </c>
      <c r="T104" s="20" t="inlineStr">
        <is>
          <t>sets</t>
        </is>
      </c>
      <c r="U104" s="20" t="inlineStr">
        <is>
          <t>Contracted sets</t>
        </is>
      </c>
      <c r="V104" s="100" t="inlineStr">
        <is>
          <t>199995620</t>
        </is>
      </c>
      <c r="W104" s="20" t="inlineStr">
        <is>
          <t>JPY</t>
        </is>
      </c>
      <c r="X104" s="20" t="inlineStr">
        <is>
          <t>Signed contract value</t>
        </is>
      </c>
      <c r="Y104" s="20" t="inlineStr">
        <is>
          <t>Obligated / signed if disclosed</t>
        </is>
      </c>
      <c r="Z104" s="20" t="inlineStr">
        <is>
          <t>Yes</t>
        </is>
      </c>
      <c r="AA104" s="20" t="inlineStr">
        <is>
          <t>Production Procurement</t>
        </is>
      </c>
      <c r="AB104" s="20" t="inlineStr">
        <is>
          <t>Land</t>
        </is>
      </c>
      <c r="AC104" s="20" t="inlineStr">
        <is>
          <t>Yes</t>
        </is>
      </c>
      <c r="AD104" s="20" t="n"/>
      <c r="AE104" s="20" t="inlineStr">
        <is>
          <t>https://www.mod.go.jp/atla/souhon/supply/jisseki/rakusatu/kohyo_r06/06_zuikei_kijunijo-03.xlsx</t>
        </is>
      </c>
      <c r="AF104" s="20" t="inlineStr">
        <is>
          <t>Official government / procurement record</t>
        </is>
      </c>
      <c r="AG104" s="20" t="inlineStr">
        <is>
          <t>Primary / official</t>
        </is>
      </c>
      <c r="AH104" s="20" t="inlineStr">
        <is>
          <t>High</t>
        </is>
      </c>
      <c r="AI104" s="20" t="inlineStr">
        <is>
          <t xml:space="preserve">Official ATLA contract line. </t>
        </is>
      </c>
      <c r="AJ104" s="20" t="inlineStr">
        <is>
          <t>No</t>
        </is>
      </c>
      <c r="AK104" s="20" t="inlineStr">
        <is>
          <t>No</t>
        </is>
      </c>
      <c r="AL104" s="20" t="inlineStr">
        <is>
          <t>No</t>
        </is>
      </c>
      <c r="AM104" s="20" t="inlineStr">
        <is>
          <t>Yes</t>
        </is>
      </c>
      <c r="AN104" s="20" t="inlineStr">
        <is>
          <t>No</t>
        </is>
      </c>
      <c r="AO104" s="20" t="inlineStr">
        <is>
          <t>Yes</t>
        </is>
      </c>
      <c r="AP104" s="20" t="inlineStr">
        <is>
          <t>Included in Land core</t>
        </is>
      </c>
      <c r="AQ104" s="92" t="n">
        <v>0</v>
      </c>
      <c r="AR104" s="92" t="n">
        <v>0</v>
      </c>
      <c r="AS104" s="92" t="n">
        <v>0</v>
      </c>
      <c r="AT104" s="92" t="n">
        <v>0</v>
      </c>
      <c r="AU104" s="92" t="n">
        <v>0</v>
      </c>
      <c r="AV104" s="92" t="n">
        <v>0</v>
      </c>
      <c r="AW104" s="92" t="n">
        <v>1</v>
      </c>
    </row>
    <row r="105">
      <c r="A105" s="20" t="inlineStr">
        <is>
          <t>SM-0101</t>
        </is>
      </c>
      <c r="B105" s="20" t="inlineStr">
        <is>
          <t>JP-MEDS</t>
        </is>
      </c>
      <c r="C105" s="98" t="inlineStr">
        <is>
          <t>2025-03-31</t>
        </is>
      </c>
      <c r="D105" s="92" t="n">
        <v>2025</v>
      </c>
      <c r="E105" s="20" t="inlineStr">
        <is>
          <t>Japan</t>
        </is>
      </c>
      <c r="F105" s="20" t="inlineStr">
        <is>
          <t>Japan MOD / ATLA / JGSDF</t>
        </is>
      </c>
      <c r="G105" s="20" t="inlineStr">
        <is>
          <t>Japan MOD / JGSDF</t>
        </is>
      </c>
      <c r="H105" s="20" t="inlineStr">
        <is>
          <t>Army / Land</t>
        </is>
      </c>
      <c r="I105" s="20" t="inlineStr">
        <is>
          <t>Nippon Aircraft Supply (NAS)</t>
        </is>
      </c>
      <c r="J105" s="20" t="inlineStr">
        <is>
          <t>NAS / Fibrotex programme team</t>
        </is>
      </c>
      <c r="K105" s="20" t="inlineStr">
        <is>
          <t>Japan</t>
        </is>
      </c>
      <c r="L105" s="20" t="inlineStr">
        <is>
          <t>MEDS — Generic equipment set</t>
        </is>
      </c>
      <c r="M105" s="20" t="inlineStr">
        <is>
          <t>JGSDF land equipment</t>
        </is>
      </c>
      <c r="N105" s="20" t="inlineStr">
        <is>
          <t>Multiple Electromagnetic Disguise Net Set</t>
        </is>
      </c>
      <c r="O105" s="20" t="inlineStr">
        <is>
          <t>Multispectral</t>
        </is>
      </c>
      <c r="P105" s="20" t="inlineStr">
        <is>
          <t>Production order</t>
        </is>
      </c>
      <c r="Q105" s="20" t="inlineStr">
        <is>
          <t>Award</t>
        </is>
      </c>
      <c r="R105" s="20" t="inlineStr">
        <is>
          <t>Yes</t>
        </is>
      </c>
      <c r="S105" s="99" t="inlineStr">
        <is>
          <t>14</t>
        </is>
      </c>
      <c r="T105" s="20" t="inlineStr">
        <is>
          <t>sets</t>
        </is>
      </c>
      <c r="U105" s="20" t="inlineStr">
        <is>
          <t>Contracted sets</t>
        </is>
      </c>
      <c r="V105" s="100" t="inlineStr">
        <is>
          <t>49002800</t>
        </is>
      </c>
      <c r="W105" s="20" t="inlineStr">
        <is>
          <t>JPY</t>
        </is>
      </c>
      <c r="X105" s="20" t="inlineStr">
        <is>
          <t>Signed contract value</t>
        </is>
      </c>
      <c r="Y105" s="20" t="inlineStr">
        <is>
          <t>Obligated / signed if disclosed</t>
        </is>
      </c>
      <c r="Z105" s="20" t="inlineStr">
        <is>
          <t>Yes</t>
        </is>
      </c>
      <c r="AA105" s="20" t="inlineStr">
        <is>
          <t>Production Procurement</t>
        </is>
      </c>
      <c r="AB105" s="20" t="inlineStr">
        <is>
          <t>Land</t>
        </is>
      </c>
      <c r="AC105" s="20" t="inlineStr">
        <is>
          <t>Yes</t>
        </is>
      </c>
      <c r="AD105" s="20" t="n"/>
      <c r="AE105" s="20" t="inlineStr">
        <is>
          <t>https://www.mod.go.jp/atla/souhon/supply/jisseki/rakusatu/kohyo_r06/06_zuikei_kijunijo-03.xlsx</t>
        </is>
      </c>
      <c r="AF105" s="20" t="inlineStr">
        <is>
          <t>Official government / procurement record</t>
        </is>
      </c>
      <c r="AG105" s="20" t="inlineStr">
        <is>
          <t>Primary / official</t>
        </is>
      </c>
      <c r="AH105" s="20" t="inlineStr">
        <is>
          <t>High</t>
        </is>
      </c>
      <c r="AI105" s="20" t="inlineStr">
        <is>
          <t xml:space="preserve">Official ATLA contract line. </t>
        </is>
      </c>
      <c r="AJ105" s="20" t="inlineStr">
        <is>
          <t>No</t>
        </is>
      </c>
      <c r="AK105" s="20" t="inlineStr">
        <is>
          <t>No</t>
        </is>
      </c>
      <c r="AL105" s="20" t="inlineStr">
        <is>
          <t>No</t>
        </is>
      </c>
      <c r="AM105" s="20" t="inlineStr">
        <is>
          <t>Yes</t>
        </is>
      </c>
      <c r="AN105" s="20" t="inlineStr">
        <is>
          <t>No</t>
        </is>
      </c>
      <c r="AO105" s="20" t="inlineStr">
        <is>
          <t>Yes</t>
        </is>
      </c>
      <c r="AP105" s="20" t="inlineStr">
        <is>
          <t>Included in Land core</t>
        </is>
      </c>
      <c r="AQ105" s="92" t="n">
        <v>0</v>
      </c>
      <c r="AR105" s="92" t="n">
        <v>0</v>
      </c>
      <c r="AS105" s="92" t="n">
        <v>0</v>
      </c>
      <c r="AT105" s="92" t="n">
        <v>0</v>
      </c>
      <c r="AU105" s="92" t="n">
        <v>0</v>
      </c>
      <c r="AV105" s="92" t="n">
        <v>0</v>
      </c>
      <c r="AW105" s="92" t="n">
        <v>1</v>
      </c>
    </row>
    <row r="106">
      <c r="A106" s="20" t="inlineStr">
        <is>
          <t>SM-0102</t>
        </is>
      </c>
      <c r="B106" s="20" t="inlineStr">
        <is>
          <t>PPG-FA930221D0009</t>
        </is>
      </c>
      <c r="C106" s="98" t="inlineStr">
        <is>
          <t>2025-04-11</t>
        </is>
      </c>
      <c r="D106" s="92" t="n">
        <v>2025</v>
      </c>
      <c r="E106" s="20" t="inlineStr">
        <is>
          <t>United States</t>
        </is>
      </c>
      <c r="F106" s="20" t="inlineStr">
        <is>
          <t>Air Force Test Center / USAF</t>
        </is>
      </c>
      <c r="G106" s="20" t="inlineStr">
        <is>
          <t>U.S. Air Force</t>
        </is>
      </c>
      <c r="H106" s="20" t="inlineStr">
        <is>
          <t>Air Force / Aviation</t>
        </is>
      </c>
      <c r="I106" s="20" t="inlineStr">
        <is>
          <t>PPG Industries, Inc.</t>
        </is>
      </c>
      <c r="J106" s="20" t="inlineStr">
        <is>
          <t>PPG</t>
        </is>
      </c>
      <c r="K106" s="20" t="inlineStr">
        <is>
          <t>USA</t>
        </is>
      </c>
      <c r="L106" s="20" t="inlineStr">
        <is>
          <t>FA930221D0009 Radar Absorbent Material IDIQ</t>
        </is>
      </c>
      <c r="M106" s="20" t="inlineStr">
        <is>
          <t>RAM / Composite</t>
        </is>
      </c>
      <c r="N106" s="20" t="inlineStr">
        <is>
          <t>Radar Absorbent Material</t>
        </is>
      </c>
      <c r="O106" s="20" t="inlineStr">
        <is>
          <t>Radar / RCS</t>
        </is>
      </c>
      <c r="P106" s="20" t="inlineStr">
        <is>
          <t>Order</t>
        </is>
      </c>
      <c r="Q106" s="20" t="n"/>
      <c r="R106" s="20" t="inlineStr">
        <is>
          <t>Yes</t>
        </is>
      </c>
      <c r="S106" s="99" t="n"/>
      <c r="T106" s="20" t="inlineStr">
        <is>
          <t>Unknown</t>
        </is>
      </c>
      <c r="U106" s="20" t="n"/>
      <c r="V106" s="100" t="inlineStr">
        <is>
          <t>279600.0</t>
        </is>
      </c>
      <c r="W106" s="20" t="inlineStr">
        <is>
          <t>USD</t>
        </is>
      </c>
      <c r="X106" s="20" t="n"/>
      <c r="Y106" s="20" t="inlineStr">
        <is>
          <t>Obligated / signed if disclosed</t>
        </is>
      </c>
      <c r="Z106" s="20" t="inlineStr">
        <is>
          <t>No</t>
        </is>
      </c>
      <c r="AA106" s="20" t="inlineStr">
        <is>
          <t>Production Procurement</t>
        </is>
      </c>
      <c r="AB106" s="20" t="inlineStr">
        <is>
          <t>Aviation</t>
        </is>
      </c>
      <c r="AC106" s="20" t="inlineStr">
        <is>
          <t>No</t>
        </is>
      </c>
      <c r="AD106" s="20" t="inlineStr">
        <is>
          <t>Aviation-only</t>
        </is>
      </c>
      <c r="AE106" s="20" t="inlineStr">
        <is>
          <t>https://www.highergov.com/idv/FA930221D0009/</t>
        </is>
      </c>
      <c r="AF106" s="20" t="inlineStr">
        <is>
          <t>Other credible third-party source (FPDS/SAM-derived)</t>
        </is>
      </c>
      <c r="AG106" s="20" t="inlineStr">
        <is>
          <t>Secondary / aggregator</t>
        </is>
      </c>
      <c r="AH106" s="20" t="inlineStr">
        <is>
          <t>High</t>
        </is>
      </c>
      <c r="AI106" s="20" t="inlineStr">
        <is>
          <t>Task-order value is actual obligation/order; the $4.999999m parent IDIQ ceiling is not counted as sales.</t>
        </is>
      </c>
      <c r="AJ106" s="20" t="inlineStr">
        <is>
          <t>Yes</t>
        </is>
      </c>
      <c r="AK106" s="20" t="inlineStr">
        <is>
          <t>No</t>
        </is>
      </c>
      <c r="AL106" s="20" t="inlineStr">
        <is>
          <t>No</t>
        </is>
      </c>
      <c r="AM106" s="20" t="inlineStr">
        <is>
          <t>No</t>
        </is>
      </c>
      <c r="AN106" s="20" t="inlineStr">
        <is>
          <t>No</t>
        </is>
      </c>
      <c r="AO106" s="20" t="inlineStr">
        <is>
          <t>Yes</t>
        </is>
      </c>
      <c r="AP106" s="20" t="inlineStr">
        <is>
          <t>Retained as contextual; excluded from Land core</t>
        </is>
      </c>
      <c r="AQ106" s="92" t="n">
        <v>0</v>
      </c>
      <c r="AR106" s="92" t="n">
        <v>0</v>
      </c>
      <c r="AS106" s="92" t="n">
        <v>0</v>
      </c>
      <c r="AT106" s="92" t="n">
        <v>0</v>
      </c>
      <c r="AU106" s="92" t="n">
        <v>0</v>
      </c>
      <c r="AV106" s="92" t="n">
        <v>0</v>
      </c>
      <c r="AW106" s="92" t="n">
        <v>0</v>
      </c>
    </row>
    <row r="107">
      <c r="A107" s="20" t="inlineStr">
        <is>
          <t>SM-0103</t>
        </is>
      </c>
      <c r="B107" s="20" t="inlineStr">
        <is>
          <t>ULCANS-IDV-W911QY18D0210</t>
        </is>
      </c>
      <c r="C107" s="98" t="inlineStr">
        <is>
          <t>2025-05-16</t>
        </is>
      </c>
      <c r="D107" s="92" t="n">
        <v>2025</v>
      </c>
      <c r="E107" s="20" t="inlineStr">
        <is>
          <t>United States</t>
        </is>
      </c>
      <c r="F107" s="20" t="inlineStr">
        <is>
          <t>Multiple armed forces</t>
        </is>
      </c>
      <c r="G107" s="20" t="inlineStr">
        <is>
          <t>Multiple armed forces</t>
        </is>
      </c>
      <c r="H107" s="20" t="inlineStr">
        <is>
          <t>Army / Land</t>
        </is>
      </c>
      <c r="I107" s="20" t="inlineStr">
        <is>
          <t>Fibrotex</t>
        </is>
      </c>
      <c r="J107" s="20" t="inlineStr">
        <is>
          <t>Fibrotex</t>
        </is>
      </c>
      <c r="K107" s="20" t="inlineStr">
        <is>
          <t>Israel / USA</t>
        </is>
      </c>
      <c r="L107" s="20" t="inlineStr">
        <is>
          <t>ULCANS / static systems</t>
        </is>
      </c>
      <c r="M107" s="20" t="inlineStr">
        <is>
          <t>Static land systems</t>
        </is>
      </c>
      <c r="N107" s="20" t="inlineStr">
        <is>
          <t>Static camouflage systems</t>
        </is>
      </c>
      <c r="O107" s="20" t="inlineStr">
        <is>
          <t>Multispectral</t>
        </is>
      </c>
      <c r="P107" s="20" t="inlineStr">
        <is>
          <t>Delivery / fielding</t>
        </is>
      </c>
      <c r="Q107" s="20" t="inlineStr">
        <is>
          <t>Delivery milestone</t>
        </is>
      </c>
      <c r="R107" s="20" t="inlineStr">
        <is>
          <t>No</t>
        </is>
      </c>
      <c r="S107" s="99" t="n"/>
      <c r="T107" s="20" t="inlineStr">
        <is>
          <t>Unknown</t>
        </is>
      </c>
      <c r="U107" s="20" t="inlineStr">
        <is>
          <t>Cumulative claim only</t>
        </is>
      </c>
      <c r="V107" s="100" t="n"/>
      <c r="W107" s="20" t="inlineStr">
        <is>
          <t>Unknown</t>
        </is>
      </c>
      <c r="X107" s="20" t="inlineStr">
        <is>
          <t>Not a new transaction</t>
        </is>
      </c>
      <c r="Y107" s="20" t="inlineStr">
        <is>
          <t>Obligated / signed if disclosed</t>
        </is>
      </c>
      <c r="Z107" s="20" t="inlineStr">
        <is>
          <t>No</t>
        </is>
      </c>
      <c r="AA107" s="20" t="inlineStr">
        <is>
          <t>Delivery / Programme Milestone</t>
        </is>
      </c>
      <c r="AB107" s="20" t="inlineStr">
        <is>
          <t>Land</t>
        </is>
      </c>
      <c r="AC107" s="20" t="inlineStr">
        <is>
          <t>Yes</t>
        </is>
      </c>
      <c r="AD107" s="20" t="n"/>
      <c r="AE107" s="20" t="inlineStr">
        <is>
          <t>https://www.israeldefense.co.il/en/node/64915</t>
        </is>
      </c>
      <c r="AF107" s="20" t="inlineStr">
        <is>
          <t>Defence trade press / interview</t>
        </is>
      </c>
      <c r="AG107" s="20" t="inlineStr">
        <is>
          <t>Supplier / prime announcement</t>
        </is>
      </c>
      <c r="AH107" s="20" t="inlineStr">
        <is>
          <t>Medium</t>
        </is>
      </c>
      <c r="AI107" s="20" t="inlineStr">
        <is>
          <t>Reported scale is cumulative and imprecise; not counted as a new order or annual quantity.</t>
        </is>
      </c>
      <c r="AJ107" s="20" t="inlineStr">
        <is>
          <t>No</t>
        </is>
      </c>
      <c r="AK107" s="20" t="inlineStr">
        <is>
          <t>Yes</t>
        </is>
      </c>
      <c r="AL107" s="20" t="inlineStr">
        <is>
          <t>No</t>
        </is>
      </c>
      <c r="AM107" s="20" t="inlineStr">
        <is>
          <t>No</t>
        </is>
      </c>
      <c r="AN107" s="20" t="inlineStr">
        <is>
          <t>No</t>
        </is>
      </c>
      <c r="AO107" s="20" t="inlineStr">
        <is>
          <t>Yes</t>
        </is>
      </c>
      <c r="AP107" s="20" t="inlineStr">
        <is>
          <t>Included in Land core</t>
        </is>
      </c>
      <c r="AQ107" s="92" t="n">
        <v>1</v>
      </c>
      <c r="AR107" s="92" t="n">
        <v>0</v>
      </c>
      <c r="AS107" s="92" t="n">
        <v>1</v>
      </c>
      <c r="AT107" s="92" t="n">
        <v>1</v>
      </c>
      <c r="AU107" s="92" t="n">
        <v>0</v>
      </c>
      <c r="AV107" s="92" t="n">
        <v>0</v>
      </c>
      <c r="AW107" s="92" t="n">
        <v>0</v>
      </c>
    </row>
    <row r="108">
      <c r="A108" s="20" t="inlineStr">
        <is>
          <t>SM-0104</t>
        </is>
      </c>
      <c r="B108" s="20" t="inlineStr">
        <is>
          <t>ARC-N0017825Q6738</t>
        </is>
      </c>
      <c r="C108" s="98" t="inlineStr">
        <is>
          <t>2025-05-28</t>
        </is>
      </c>
      <c r="D108" s="92" t="n">
        <v>2025</v>
      </c>
      <c r="E108" s="20" t="inlineStr">
        <is>
          <t>United States</t>
        </is>
      </c>
      <c r="F108" s="20" t="inlineStr">
        <is>
          <t>NSWC Dahlgren Division / U.S. Navy</t>
        </is>
      </c>
      <c r="G108" s="20" t="inlineStr">
        <is>
          <t>U.S. Navy</t>
        </is>
      </c>
      <c r="H108" s="20" t="inlineStr">
        <is>
          <t>Navy</t>
        </is>
      </c>
      <c r="I108" s="20" t="inlineStr">
        <is>
          <t>ARC Technologies LLC (Hexcel subsidiary)</t>
        </is>
      </c>
      <c r="J108" s="20" t="inlineStr">
        <is>
          <t>ARC Technologies / Hexcel</t>
        </is>
      </c>
      <c r="K108" s="20" t="inlineStr">
        <is>
          <t>USA</t>
        </is>
      </c>
      <c r="L108" s="20" t="inlineStr">
        <is>
          <t>N0017825P6738</t>
        </is>
      </c>
      <c r="M108" s="20" t="inlineStr">
        <is>
          <t>RAM / Composite</t>
        </is>
      </c>
      <c r="N108" s="20" t="inlineStr">
        <is>
          <t>0310-03 ARC RAM</t>
        </is>
      </c>
      <c r="O108" s="20" t="inlineStr">
        <is>
          <t>Radar / RCS</t>
        </is>
      </c>
      <c r="P108" s="20" t="inlineStr">
        <is>
          <t>Contract Award</t>
        </is>
      </c>
      <c r="Q108" s="20" t="n"/>
      <c r="R108" s="20" t="inlineStr">
        <is>
          <t>Yes</t>
        </is>
      </c>
      <c r="S108" s="99" t="inlineStr">
        <is>
          <t>11</t>
        </is>
      </c>
      <c r="T108" s="20" t="inlineStr">
        <is>
          <t>units</t>
        </is>
      </c>
      <c r="U108" s="20" t="n"/>
      <c r="V108" s="100" t="inlineStr">
        <is>
          <t>16664.79</t>
        </is>
      </c>
      <c r="W108" s="20" t="inlineStr">
        <is>
          <t>USD</t>
        </is>
      </c>
      <c r="X108" s="20" t="n"/>
      <c r="Y108" s="20" t="inlineStr">
        <is>
          <t>Obligated / signed if disclosed</t>
        </is>
      </c>
      <c r="Z108" s="20" t="inlineStr">
        <is>
          <t>No</t>
        </is>
      </c>
      <c r="AA108" s="20" t="inlineStr">
        <is>
          <t>Production Procurement</t>
        </is>
      </c>
      <c r="AB108" s="20" t="inlineStr">
        <is>
          <t>Other / Contextual</t>
        </is>
      </c>
      <c r="AC108" s="20" t="inlineStr">
        <is>
          <t>No</t>
        </is>
      </c>
      <c r="AD108" s="20" t="inlineStr">
        <is>
          <t>End use / platform not publicly established; naval contracting organization alone is insufficient for Maritime classification</t>
        </is>
      </c>
      <c r="AE108" s="20" t="inlineStr">
        <is>
          <t>https://govtribe.com/award/federal-contract-award/purchase-order-n0010426pua17</t>
        </is>
      </c>
      <c r="AF108" s="20" t="inlineStr">
        <is>
          <t>Other credible third-party source (FPDS/SAM-derived)</t>
        </is>
      </c>
      <c r="AG108" s="20" t="inlineStr">
        <is>
          <t>Secondary / aggregator</t>
        </is>
      </c>
      <c r="AH108" s="20" t="inlineStr">
        <is>
          <t>High</t>
        </is>
      </c>
      <c r="AI108" s="20" t="inlineStr">
        <is>
          <t>Commercial award following the March 2025 RFQ; do not sum RFQ as transaction value.</t>
        </is>
      </c>
      <c r="AJ108" s="20" t="inlineStr">
        <is>
          <t>Yes</t>
        </is>
      </c>
      <c r="AK108" s="20" t="inlineStr">
        <is>
          <t>No</t>
        </is>
      </c>
      <c r="AL108" s="20" t="inlineStr">
        <is>
          <t>No</t>
        </is>
      </c>
      <c r="AM108" s="20" t="inlineStr">
        <is>
          <t>No</t>
        </is>
      </c>
      <c r="AN108" s="20" t="inlineStr">
        <is>
          <t>No</t>
        </is>
      </c>
      <c r="AO108" s="20" t="inlineStr">
        <is>
          <t>Yes</t>
        </is>
      </c>
      <c r="AP108" s="20" t="inlineStr">
        <is>
          <t>Retained as contextual; excluded from Land core</t>
        </is>
      </c>
      <c r="AQ108" s="92" t="n">
        <v>0</v>
      </c>
      <c r="AR108" s="92" t="n">
        <v>0</v>
      </c>
      <c r="AS108" s="92" t="n">
        <v>0</v>
      </c>
      <c r="AT108" s="92" t="n">
        <v>0</v>
      </c>
      <c r="AU108" s="92" t="n">
        <v>0</v>
      </c>
      <c r="AV108" s="92" t="n">
        <v>0</v>
      </c>
      <c r="AW108" s="92" t="n">
        <v>0</v>
      </c>
    </row>
    <row r="109">
      <c r="A109" s="20" t="inlineStr">
        <is>
          <t>SM-0107</t>
        </is>
      </c>
      <c r="B109" s="20" t="inlineStr">
        <is>
          <t>AME-CNELS-XHANGAR-2023-25</t>
        </is>
      </c>
      <c r="C109" s="98" t="inlineStr">
        <is>
          <t>2025-05-29</t>
        </is>
      </c>
      <c r="D109" s="92" t="n">
        <v>2025</v>
      </c>
      <c r="E109" s="20" t="inlineStr">
        <is>
          <t>United States</t>
        </is>
      </c>
      <c r="F109" s="20" t="inlineStr">
        <is>
          <t>Naval Research Laboratory / ONR</t>
        </is>
      </c>
      <c r="G109" s="20" t="inlineStr">
        <is>
          <t>U.S. NRL / ONR</t>
        </is>
      </c>
      <c r="H109" s="20" t="inlineStr">
        <is>
          <t>Navy</t>
        </is>
      </c>
      <c r="I109" s="20" t="inlineStr">
        <is>
          <t>Ametrine Technologies</t>
        </is>
      </c>
      <c r="J109" s="20" t="inlineStr">
        <is>
          <t>Ametrine Technologies</t>
        </is>
      </c>
      <c r="K109" s="20" t="inlineStr">
        <is>
          <t>USA</t>
        </is>
      </c>
      <c r="L109" s="20" t="inlineStr">
        <is>
          <t>N0017325RDH03 — CNELS / third-generation X-Hangar</t>
        </is>
      </c>
      <c r="M109" s="20" t="inlineStr">
        <is>
          <t>Expeditionary/static</t>
        </is>
      </c>
      <c r="N109" s="20" t="inlineStr">
        <is>
          <t>Passive multimodal covers</t>
        </is>
      </c>
      <c r="O109" s="20" t="inlineStr">
        <is>
          <t>Multispectral</t>
        </is>
      </c>
      <c r="P109" s="20" t="inlineStr">
        <is>
          <t>Notice of intent / special notice</t>
        </is>
      </c>
      <c r="Q109" s="20" t="inlineStr">
        <is>
          <t>Sole-source notice</t>
        </is>
      </c>
      <c r="R109" s="20" t="inlineStr">
        <is>
          <t>No</t>
        </is>
      </c>
      <c r="S109" s="99" t="n"/>
      <c r="T109" s="20" t="inlineStr">
        <is>
          <t>Unknown</t>
        </is>
      </c>
      <c r="U109" s="20" t="inlineStr">
        <is>
          <t>Unknown</t>
        </is>
      </c>
      <c r="V109" s="100" t="n"/>
      <c r="W109" s="20" t="inlineStr">
        <is>
          <t>USD</t>
        </is>
      </c>
      <c r="X109" s="20" t="inlineStr">
        <is>
          <t>No award at this stage</t>
        </is>
      </c>
      <c r="Y109" s="20" t="inlineStr">
        <is>
          <t>Obligated / signed if disclosed</t>
        </is>
      </c>
      <c r="Z109" s="20" t="inlineStr">
        <is>
          <t>No</t>
        </is>
      </c>
      <c r="AA109" s="20" t="inlineStr">
        <is>
          <t>Demand</t>
        </is>
      </c>
      <c r="AB109" s="20" t="inlineStr">
        <is>
          <t>Land</t>
        </is>
      </c>
      <c r="AC109" s="20" t="inlineStr">
        <is>
          <t>Yes</t>
        </is>
      </c>
      <c r="AD109" s="20" t="str"/>
      <c r="AE109" s="20" t="inlineStr">
        <is>
          <t>https://www.highergov.com/contract-opportunity/camouflage-netting-and-expeditionary-lifting-struc-n0017325rdh03-s-4846b/</t>
        </is>
      </c>
      <c r="AF109" s="20" t="inlineStr">
        <is>
          <t>Government-opportunity mirror</t>
        </is>
      </c>
      <c r="AG109" s="20" t="inlineStr">
        <is>
          <t>Supplier / prime announcement</t>
        </is>
      </c>
      <c r="AH109" s="20" t="inlineStr">
        <is>
          <t>Medium</t>
        </is>
      </c>
      <c r="AI109" s="20" t="inlineStr">
        <is>
          <t>Distinct procurement notice following the March 2025 sources-sought stage; not an RFP and not an order.</t>
        </is>
      </c>
      <c r="AJ109" s="20" t="inlineStr">
        <is>
          <t>No</t>
        </is>
      </c>
      <c r="AK109" s="20" t="inlineStr">
        <is>
          <t>Yes</t>
        </is>
      </c>
      <c r="AL109" s="20" t="inlineStr">
        <is>
          <t>No</t>
        </is>
      </c>
      <c r="AM109" s="20" t="inlineStr">
        <is>
          <t>No</t>
        </is>
      </c>
      <c r="AN109" s="20" t="inlineStr">
        <is>
          <t>No</t>
        </is>
      </c>
      <c r="AO109" s="20" t="inlineStr">
        <is>
          <t>Yes</t>
        </is>
      </c>
      <c r="AP109" s="20" t="inlineStr">
        <is>
          <t>Included in Land core</t>
        </is>
      </c>
      <c r="AQ109" s="92" t="n">
        <v>0</v>
      </c>
      <c r="AR109" s="92" t="n">
        <v>0</v>
      </c>
      <c r="AS109" s="92" t="n">
        <v>0</v>
      </c>
      <c r="AT109" s="92" t="n">
        <v>0</v>
      </c>
      <c r="AU109" s="92" t="n">
        <v>0</v>
      </c>
      <c r="AV109" s="92" t="n">
        <v>0</v>
      </c>
      <c r="AW109" s="92" t="n">
        <v>0</v>
      </c>
    </row>
    <row r="110">
      <c r="A110" s="20" t="inlineStr">
        <is>
          <t>SM-0105</t>
        </is>
      </c>
      <c r="B110" s="20" t="inlineStr">
        <is>
          <t>CH-MSTS-2025</t>
        </is>
      </c>
      <c r="C110" s="98" t="inlineStr">
        <is>
          <t>2025-06-17</t>
        </is>
      </c>
      <c r="D110" s="92" t="n">
        <v>2025</v>
      </c>
      <c r="E110" s="20" t="inlineStr">
        <is>
          <t>Switzerland</t>
        </is>
      </c>
      <c r="F110" s="20" t="inlineStr">
        <is>
          <t>armasuisse</t>
        </is>
      </c>
      <c r="G110" s="20" t="inlineStr">
        <is>
          <t>armasuisse</t>
        </is>
      </c>
      <c r="H110" s="20" t="inlineStr">
        <is>
          <t>Army / Land</t>
        </is>
      </c>
      <c r="I110" s="20" t="inlineStr">
        <is>
          <t>SSZ Camouflage Technology</t>
        </is>
      </c>
      <c r="J110" s="20" t="inlineStr">
        <is>
          <t>SSZ Camouflage Technology</t>
        </is>
      </c>
      <c r="K110" s="20" t="inlineStr">
        <is>
          <t>Switzerland</t>
        </is>
      </c>
      <c r="L110" s="20" t="inlineStr">
        <is>
          <t>Multispectral camouflage and subterfuge systems</t>
        </is>
      </c>
      <c r="M110" s="20" t="inlineStr">
        <is>
          <t>Static/mobile land use</t>
        </is>
      </c>
      <c r="N110" s="20" t="inlineStr">
        <is>
          <t>MSTS supplier selection</t>
        </is>
      </c>
      <c r="O110" s="20" t="inlineStr">
        <is>
          <t>Optical/IR/Radar</t>
        </is>
      </c>
      <c r="P110" s="20" t="inlineStr">
        <is>
          <t>Invitation procedure</t>
        </is>
      </c>
      <c r="Q110" s="20" t="inlineStr">
        <is>
          <t>Supplier selection</t>
        </is>
      </c>
      <c r="R110" s="20" t="inlineStr">
        <is>
          <t>No</t>
        </is>
      </c>
      <c r="S110" s="99" t="n"/>
      <c r="T110" s="20" t="inlineStr">
        <is>
          <t>Unknown</t>
        </is>
      </c>
      <c r="U110" s="20" t="inlineStr">
        <is>
          <t>Unknown</t>
        </is>
      </c>
      <c r="V110" s="100" t="n"/>
      <c r="W110" s="20" t="inlineStr">
        <is>
          <t>CHF</t>
        </is>
      </c>
      <c r="X110" s="20" t="inlineStr">
        <is>
          <t>Undisclosed</t>
        </is>
      </c>
      <c r="Y110" s="20" t="inlineStr">
        <is>
          <t>Obligated / signed if disclosed</t>
        </is>
      </c>
      <c r="Z110" s="20" t="inlineStr">
        <is>
          <t>No</t>
        </is>
      </c>
      <c r="AA110" s="20" t="inlineStr">
        <is>
          <t>Selection</t>
        </is>
      </c>
      <c r="AB110" s="20" t="inlineStr">
        <is>
          <t>Land</t>
        </is>
      </c>
      <c r="AC110" s="20" t="inlineStr">
        <is>
          <t>Yes</t>
        </is>
      </c>
      <c r="AD110" s="20" t="n"/>
      <c r="AE110" s="20" t="inlineStr">
        <is>
          <t>https://www.admin.ch/en/newnsb/40hE4TvnFhS-</t>
        </is>
      </c>
      <c r="AF110" s="20" t="inlineStr">
        <is>
          <t>Swiss government</t>
        </is>
      </c>
      <c r="AG110" s="20" t="inlineStr">
        <is>
          <t>Primary / official</t>
        </is>
      </c>
      <c r="AH110" s="20" t="inlineStr">
        <is>
          <t>Medium</t>
        </is>
      </c>
      <c r="AI110" s="20" t="inlineStr">
        <is>
          <t>Multi-supplier process; one procurement family, not multiple company transactions.</t>
        </is>
      </c>
      <c r="AJ110" s="20" t="inlineStr">
        <is>
          <t>No</t>
        </is>
      </c>
      <c r="AK110" s="20" t="inlineStr">
        <is>
          <t>Yes</t>
        </is>
      </c>
      <c r="AL110" s="20" t="inlineStr">
        <is>
          <t>No</t>
        </is>
      </c>
      <c r="AM110" s="20" t="inlineStr">
        <is>
          <t>No</t>
        </is>
      </c>
      <c r="AN110" s="20" t="inlineStr">
        <is>
          <t>No</t>
        </is>
      </c>
      <c r="AO110" s="20" t="inlineStr">
        <is>
          <t>Yes</t>
        </is>
      </c>
      <c r="AP110" s="20" t="inlineStr">
        <is>
          <t>Included in Land core</t>
        </is>
      </c>
      <c r="AQ110" s="92" t="n">
        <v>1</v>
      </c>
      <c r="AR110" s="92" t="n">
        <v>0</v>
      </c>
      <c r="AS110" s="92" t="n">
        <v>1</v>
      </c>
      <c r="AT110" s="92" t="n">
        <v>1</v>
      </c>
      <c r="AU110" s="92" t="n">
        <v>1</v>
      </c>
      <c r="AV110" s="92" t="n">
        <v>1</v>
      </c>
      <c r="AW110" s="92" t="n">
        <v>0</v>
      </c>
    </row>
    <row r="111">
      <c r="A111" s="20" t="inlineStr">
        <is>
          <t>SM-0106</t>
        </is>
      </c>
      <c r="B111" s="20" t="inlineStr">
        <is>
          <t>CH-MSTS-2025</t>
        </is>
      </c>
      <c r="C111" s="98" t="inlineStr">
        <is>
          <t>2025-07-01</t>
        </is>
      </c>
      <c r="D111" s="92" t="n">
        <v>2025</v>
      </c>
      <c r="E111" s="20" t="inlineStr">
        <is>
          <t>Switzerland</t>
        </is>
      </c>
      <c r="F111" s="20" t="inlineStr">
        <is>
          <t>armasuisse</t>
        </is>
      </c>
      <c r="G111" s="20" t="inlineStr">
        <is>
          <t>armasuisse</t>
        </is>
      </c>
      <c r="H111" s="20" t="inlineStr">
        <is>
          <t>Defence / not disclosed</t>
        </is>
      </c>
      <c r="I111" s="20" t="inlineStr">
        <is>
          <t>Saab Barracuda / SSZ / Saro</t>
        </is>
      </c>
      <c r="J111" s="20" t="inlineStr">
        <is>
          <t>Saab Barracuda</t>
        </is>
      </c>
      <c r="K111" s="20" t="inlineStr">
        <is>
          <t>Sweden</t>
        </is>
      </c>
      <c r="L111" s="20" t="inlineStr">
        <is>
          <t>Multispectral Camouflage Systems (MSTS) — invitation procedure (Einladungsverfahren)</t>
        </is>
      </c>
      <c r="M111" s="20" t="inlineStr">
        <is>
          <t>Vehicle Camouflage System</t>
        </is>
      </c>
      <c r="N111" s="20" t="inlineStr">
        <is>
          <t>Barracuda / SSZ / Saro multispectral camouflage and deception systems under customer test</t>
        </is>
      </c>
      <c r="O111" s="20" t="inlineStr">
        <is>
          <t>VIS / Optical; IR / Thermal; Radar / RCS; Multispectral</t>
        </is>
      </c>
      <c r="P111" s="20" t="inlineStr">
        <is>
          <t>Trial / Evaluation</t>
        </is>
      </c>
      <c r="Q111" s="20" t="n"/>
      <c r="R111" s="20" t="inlineStr">
        <is>
          <t>No</t>
        </is>
      </c>
      <c r="S111" s="99" t="n"/>
      <c r="T111" s="20" t="inlineStr">
        <is>
          <t>Unknown</t>
        </is>
      </c>
      <c r="U111" s="20" t="n"/>
      <c r="V111" s="100" t="n"/>
      <c r="W111" s="20" t="n"/>
      <c r="X111" s="20" t="n"/>
      <c r="Y111" s="20" t="inlineStr">
        <is>
          <t>Obligated / signed if disclosed</t>
        </is>
      </c>
      <c r="Z111" s="20" t="inlineStr">
        <is>
          <t>No</t>
        </is>
      </c>
      <c r="AA111" s="20" t="inlineStr">
        <is>
          <t>Development / Validation</t>
        </is>
      </c>
      <c r="AB111" s="20" t="inlineStr">
        <is>
          <t>Land</t>
        </is>
      </c>
      <c r="AC111" s="20" t="inlineStr">
        <is>
          <t>Yes</t>
        </is>
      </c>
      <c r="AD111" s="20" t="n"/>
      <c r="AE111" s="20" t="inlineStr">
        <is>
          <t>https://www.ar.admin.ch/de/medienmitteilungen</t>
        </is>
      </c>
      <c r="AF111" s="20" t="inlineStr">
        <is>
          <t>Official government / MOD procurement source</t>
        </is>
      </c>
      <c r="AG111" s="20" t="inlineStr">
        <is>
          <t>Primary / official</t>
        </is>
      </c>
      <c r="AH111" s="20" t="inlineStr">
        <is>
          <t>High</t>
        </is>
      </c>
      <c r="AI111" s="20" t="inlineStr">
        <is>
          <t>Customer-linked competitive evaluation milestone in the same procurement chain as SAA-2025-01 / SSZ-2025-01. Not a sale; no value. Count once at procurement level, not once per supplier. Whether suppliers were paid for the trial is not disclosed. Consolidated buyer-side trial event; duplicate supplier-specific row removed.</t>
        </is>
      </c>
      <c r="AJ111" s="20" t="inlineStr">
        <is>
          <t>Yes</t>
        </is>
      </c>
      <c r="AK111" s="20" t="inlineStr">
        <is>
          <t>No</t>
        </is>
      </c>
      <c r="AL111" s="20" t="inlineStr">
        <is>
          <t>No</t>
        </is>
      </c>
      <c r="AM111" s="20" t="inlineStr">
        <is>
          <t>No</t>
        </is>
      </c>
      <c r="AN111" s="20" t="inlineStr">
        <is>
          <t>No</t>
        </is>
      </c>
      <c r="AO111" s="20" t="inlineStr">
        <is>
          <t>Yes</t>
        </is>
      </c>
      <c r="AP111" s="20" t="inlineStr">
        <is>
          <t>Included in Land core</t>
        </is>
      </c>
      <c r="AQ111" s="92" t="n">
        <v>0</v>
      </c>
      <c r="AR111" s="92" t="n">
        <v>0</v>
      </c>
      <c r="AS111" s="92" t="n">
        <v>0</v>
      </c>
      <c r="AT111" s="92" t="n">
        <v>0</v>
      </c>
      <c r="AU111" s="92" t="n">
        <v>0</v>
      </c>
      <c r="AV111" s="92" t="n">
        <v>0</v>
      </c>
      <c r="AW111" s="92" t="n">
        <v>0</v>
      </c>
    </row>
    <row r="112">
      <c r="A112" s="20" t="inlineStr">
        <is>
          <t>SM-0108</t>
        </is>
      </c>
      <c r="B112" s="20" t="inlineStr">
        <is>
          <t>ULCANS-IDV-W911QY18D0210</t>
        </is>
      </c>
      <c r="C112" s="98" t="inlineStr">
        <is>
          <t>2025-08-07</t>
        </is>
      </c>
      <c r="D112" s="92" t="n">
        <v>2025</v>
      </c>
      <c r="E112" s="20" t="inlineStr">
        <is>
          <t>United States</t>
        </is>
      </c>
      <c r="F112" s="20" t="inlineStr">
        <is>
          <t>U.S. Army PEO CSCSS</t>
        </is>
      </c>
      <c r="G112" s="20" t="inlineStr">
        <is>
          <t>U.S. Army</t>
        </is>
      </c>
      <c r="H112" s="20" t="inlineStr">
        <is>
          <t>Army / Land</t>
        </is>
      </c>
      <c r="I112" s="20" t="inlineStr">
        <is>
          <t>Fibrotex USA Inc. / Fibrotex Technologies</t>
        </is>
      </c>
      <c r="J112" s="20" t="inlineStr">
        <is>
          <t>Fibrotex</t>
        </is>
      </c>
      <c r="K112" s="20" t="inlineStr">
        <is>
          <t>Israel / USA</t>
        </is>
      </c>
      <c r="L112" s="20" t="inlineStr">
        <is>
          <t>ULCANS</t>
        </is>
      </c>
      <c r="M112" s="20" t="inlineStr">
        <is>
          <t>Nets / Covers</t>
        </is>
      </c>
      <c r="N112" s="20" t="inlineStr">
        <is>
          <t>ULCANS production</t>
        </is>
      </c>
      <c r="O112" s="20" t="inlineStr">
        <is>
          <t>Multispectral</t>
        </is>
      </c>
      <c r="P112" s="20" t="inlineStr">
        <is>
          <t>Order</t>
        </is>
      </c>
      <c r="Q112" s="20" t="n"/>
      <c r="R112" s="20" t="inlineStr">
        <is>
          <t>Yes</t>
        </is>
      </c>
      <c r="S112" s="99" t="n"/>
      <c r="T112" s="20" t="inlineStr">
        <is>
          <t>Unknown</t>
        </is>
      </c>
      <c r="U112" s="20" t="n"/>
      <c r="V112" s="100" t="inlineStr">
        <is>
          <t>39807702.0</t>
        </is>
      </c>
      <c r="W112" s="20" t="inlineStr">
        <is>
          <t>USD</t>
        </is>
      </c>
      <c r="X112" s="20" t="n"/>
      <c r="Y112" s="20" t="inlineStr">
        <is>
          <t>Obligated / signed if disclosed</t>
        </is>
      </c>
      <c r="Z112" s="20" t="inlineStr">
        <is>
          <t>Yes</t>
        </is>
      </c>
      <c r="AA112" s="20" t="inlineStr">
        <is>
          <t>Production Procurement</t>
        </is>
      </c>
      <c r="AB112" s="20" t="inlineStr">
        <is>
          <t>Land</t>
        </is>
      </c>
      <c r="AC112" s="20" t="inlineStr">
        <is>
          <t>Yes</t>
        </is>
      </c>
      <c r="AD112" s="20" t="n"/>
      <c r="AE112" s="20" t="inlineStr">
        <is>
          <t>https://www.govchime.com/market-intelligence/awards/CONT_AWD_W911QY25FA120_9700_W911QY18D0210_9700</t>
        </is>
      </c>
      <c r="AF112" s="20" t="inlineStr">
        <is>
          <t>Other credible third-party source (FPDS/SAM-derived)</t>
        </is>
      </c>
      <c r="AG112" s="20" t="inlineStr">
        <is>
          <t>Secondary / aggregator</t>
        </is>
      </c>
      <c r="AH112" s="20" t="inlineStr">
        <is>
          <t>High</t>
        </is>
      </c>
      <c r="AI112" s="20" t="inlineStr">
        <is>
          <t>Distinct delivery/order event. Parent ULCANS IDIQ ceiling is not counted as sales; amendments are not separate events.</t>
        </is>
      </c>
      <c r="AJ112" s="20" t="inlineStr">
        <is>
          <t>Yes</t>
        </is>
      </c>
      <c r="AK112" s="20" t="inlineStr">
        <is>
          <t>No</t>
        </is>
      </c>
      <c r="AL112" s="20" t="inlineStr">
        <is>
          <t>No</t>
        </is>
      </c>
      <c r="AM112" s="20" t="inlineStr">
        <is>
          <t>No</t>
        </is>
      </c>
      <c r="AN112" s="20" t="inlineStr">
        <is>
          <t>No</t>
        </is>
      </c>
      <c r="AO112" s="20" t="inlineStr">
        <is>
          <t>Yes</t>
        </is>
      </c>
      <c r="AP112" s="20" t="inlineStr">
        <is>
          <t>Included in Land core</t>
        </is>
      </c>
      <c r="AQ112" s="92" t="n">
        <v>0</v>
      </c>
      <c r="AR112" s="92" t="n">
        <v>1</v>
      </c>
      <c r="AS112" s="92" t="n">
        <v>0</v>
      </c>
      <c r="AT112" s="92" t="n">
        <v>1</v>
      </c>
      <c r="AU112" s="92" t="n">
        <v>0</v>
      </c>
      <c r="AV112" s="92" t="n">
        <v>0</v>
      </c>
      <c r="AW112" s="92" t="n">
        <v>1</v>
      </c>
    </row>
    <row r="113">
      <c r="A113" s="20" t="inlineStr">
        <is>
          <t>SM-0109</t>
        </is>
      </c>
      <c r="B113" s="20" t="inlineStr">
        <is>
          <t>PL-MIR-COVERS-2025</t>
        </is>
      </c>
      <c r="C113" s="98" t="inlineStr">
        <is>
          <t>2025-08-27</t>
        </is>
      </c>
      <c r="D113" s="92" t="n">
        <v>2025</v>
      </c>
      <c r="E113" s="20" t="inlineStr">
        <is>
          <t>Poland</t>
        </is>
      </c>
      <c r="F113" s="20" t="inlineStr">
        <is>
          <t>Confidential domestic contractor from PGZ Group</t>
        </is>
      </c>
      <c r="G113" s="20" t="inlineStr">
        <is>
          <t>Confidential domestic contractor from PGZ Group</t>
        </is>
      </c>
      <c r="H113" s="20" t="inlineStr">
        <is>
          <t>Defence / not disclosed</t>
        </is>
      </c>
      <c r="I113" s="20" t="inlineStr">
        <is>
          <t>Miranda Sp. z o.o. (Lubawa Group)</t>
        </is>
      </c>
      <c r="J113" s="20" t="inlineStr">
        <is>
          <t>Miranda Textiles</t>
        </is>
      </c>
      <c r="K113" s="20" t="inlineStr">
        <is>
          <t>Poland</t>
        </is>
      </c>
      <c r="L113" s="20" t="inlineStr">
        <is>
          <t>Military platform camouflage</t>
        </is>
      </c>
      <c r="M113" s="20" t="inlineStr">
        <is>
          <t>Nets / Covers</t>
        </is>
      </c>
      <c r="N113" s="20" t="inlineStr">
        <is>
          <t>Multiband camouflage covers</t>
        </is>
      </c>
      <c r="O113" s="20" t="inlineStr">
        <is>
          <t>Multispectral</t>
        </is>
      </c>
      <c r="P113" s="20" t="inlineStr">
        <is>
          <t>Contract Award</t>
        </is>
      </c>
      <c r="Q113" s="20" t="n"/>
      <c r="R113" s="20" t="inlineStr">
        <is>
          <t>Yes</t>
        </is>
      </c>
      <c r="S113" s="99" t="n"/>
      <c r="T113" s="20" t="inlineStr">
        <is>
          <t>Unknown</t>
        </is>
      </c>
      <c r="U113" s="20" t="n"/>
      <c r="V113" s="100" t="inlineStr">
        <is>
          <t>36920216.07</t>
        </is>
      </c>
      <c r="W113" s="20" t="inlineStr">
        <is>
          <t>PLN</t>
        </is>
      </c>
      <c r="X113" s="20" t="n"/>
      <c r="Y113" s="20" t="inlineStr">
        <is>
          <t>Obligated / signed if disclosed</t>
        </is>
      </c>
      <c r="Z113" s="20" t="inlineStr">
        <is>
          <t>No</t>
        </is>
      </c>
      <c r="AA113" s="20" t="inlineStr">
        <is>
          <t>Production Procurement</t>
        </is>
      </c>
      <c r="AB113" s="20" t="inlineStr">
        <is>
          <t>Land</t>
        </is>
      </c>
      <c r="AC113" s="20" t="inlineStr">
        <is>
          <t>Yes</t>
        </is>
      </c>
      <c r="AD113" s="20" t="n"/>
      <c r="AE113" s="20" t="inlineStr">
        <is>
          <t>https://lubawagroup.com/raporty-biezace/14-2025-podpisanie-znaczacej-umowy-w-spolce-zaleznej/</t>
        </is>
      </c>
      <c r="AF113" s="20" t="inlineStr">
        <is>
          <t>Official company announcement</t>
        </is>
      </c>
      <c r="AG113" s="20" t="inlineStr">
        <is>
          <t>Supplier / prime announcement</t>
        </is>
      </c>
      <c r="AH113" s="20" t="inlineStr">
        <is>
          <t>High</t>
        </is>
      </c>
      <c r="AI113" s="20" t="inlineStr">
        <is>
          <t>Distinct contract; buyer name not publicly disclosed in cited announcement.</t>
        </is>
      </c>
      <c r="AJ113" s="20" t="inlineStr">
        <is>
          <t>Yes</t>
        </is>
      </c>
      <c r="AK113" s="20" t="inlineStr">
        <is>
          <t>No</t>
        </is>
      </c>
      <c r="AL113" s="20" t="inlineStr">
        <is>
          <t>No</t>
        </is>
      </c>
      <c r="AM113" s="20" t="inlineStr">
        <is>
          <t>No</t>
        </is>
      </c>
      <c r="AN113" s="20" t="inlineStr">
        <is>
          <t>No</t>
        </is>
      </c>
      <c r="AO113" s="20" t="inlineStr">
        <is>
          <t>No</t>
        </is>
      </c>
      <c r="AP113" s="20" t="inlineStr">
        <is>
          <t>Included in Land core</t>
        </is>
      </c>
      <c r="AQ113" s="92" t="n">
        <v>1</v>
      </c>
      <c r="AR113" s="92" t="n">
        <v>1</v>
      </c>
      <c r="AS113" s="92" t="n">
        <v>1</v>
      </c>
      <c r="AT113" s="92" t="n">
        <v>1</v>
      </c>
      <c r="AU113" s="92" t="n">
        <v>1</v>
      </c>
      <c r="AV113" s="92" t="n">
        <v>1</v>
      </c>
      <c r="AW113" s="92" t="n">
        <v>0</v>
      </c>
    </row>
    <row r="114">
      <c r="A114" s="20" t="inlineStr">
        <is>
          <t>SM-0110</t>
        </is>
      </c>
      <c r="B114" s="20" t="inlineStr">
        <is>
          <t>USN-MAST-RAM-TILES</t>
        </is>
      </c>
      <c r="C114" s="98" t="inlineStr">
        <is>
          <t>2025-08-29</t>
        </is>
      </c>
      <c r="D114" s="92" t="n">
        <v>2025</v>
      </c>
      <c r="E114" s="20" t="inlineStr">
        <is>
          <t>United States</t>
        </is>
      </c>
      <c r="F114" s="20" t="inlineStr">
        <is>
          <t>NAVSUP WSS / U.S. Navy</t>
        </is>
      </c>
      <c r="G114" s="20" t="inlineStr">
        <is>
          <t>U.S. Navy</t>
        </is>
      </c>
      <c r="H114" s="20" t="inlineStr">
        <is>
          <t>Navy</t>
        </is>
      </c>
      <c r="I114" s="20" t="inlineStr">
        <is>
          <t>MAST Technologies, Inc.</t>
        </is>
      </c>
      <c r="J114" s="20" t="inlineStr">
        <is>
          <t>MAST Technologies</t>
        </is>
      </c>
      <c r="K114" s="20" t="inlineStr">
        <is>
          <t>USA</t>
        </is>
      </c>
      <c r="L114" s="20" t="inlineStr">
        <is>
          <t>N0010425PUC71</t>
        </is>
      </c>
      <c r="M114" s="20" t="inlineStr">
        <is>
          <t>RAM / Composite</t>
        </is>
      </c>
      <c r="N114" s="20" t="inlineStr">
        <is>
          <t>Rubber tile</t>
        </is>
      </c>
      <c r="O114" s="20" t="inlineStr">
        <is>
          <t>Radar / RCS</t>
        </is>
      </c>
      <c r="P114" s="20" t="inlineStr">
        <is>
          <t>Order</t>
        </is>
      </c>
      <c r="Q114" s="20" t="n"/>
      <c r="R114" s="20" t="inlineStr">
        <is>
          <t>Yes</t>
        </is>
      </c>
      <c r="S114" s="99" t="n"/>
      <c r="T114" s="20" t="inlineStr">
        <is>
          <t>Unknown</t>
        </is>
      </c>
      <c r="U114" s="20" t="n"/>
      <c r="V114" s="100" t="inlineStr">
        <is>
          <t>1400000.0</t>
        </is>
      </c>
      <c r="W114" s="20" t="inlineStr">
        <is>
          <t>USD</t>
        </is>
      </c>
      <c r="X114" s="20" t="n"/>
      <c r="Y114" s="20" t="inlineStr">
        <is>
          <t>Obligated / signed if disclosed</t>
        </is>
      </c>
      <c r="Z114" s="20" t="inlineStr">
        <is>
          <t>No</t>
        </is>
      </c>
      <c r="AA114" s="20" t="inlineStr">
        <is>
          <t>Production Procurement</t>
        </is>
      </c>
      <c r="AB114" s="20" t="inlineStr">
        <is>
          <t>Maritime</t>
        </is>
      </c>
      <c r="AC114" s="20" t="inlineStr">
        <is>
          <t>No</t>
        </is>
      </c>
      <c r="AD114" s="20" t="inlineStr">
        <is>
          <t>Maritime/contextual</t>
        </is>
      </c>
      <c r="AE114" s="20" t="inlineStr">
        <is>
          <t>https://www.federalcompass.com/fed-contract-award/N0010425PUC71</t>
        </is>
      </c>
      <c r="AF114" s="20" t="inlineStr">
        <is>
          <t>Other credible third-party source (FPDS/SAM-derived)</t>
        </is>
      </c>
      <c r="AG114" s="20" t="inlineStr">
        <is>
          <t>Secondary / aggregator</t>
        </is>
      </c>
      <c r="AH114" s="20" t="inlineStr">
        <is>
          <t>Medium</t>
        </is>
      </c>
      <c r="AI114" s="20" t="inlineStr">
        <is>
          <t>Distinct orders; linked as a recurring Navy RAM-tile procurement family.</t>
        </is>
      </c>
      <c r="AJ114" s="20" t="inlineStr">
        <is>
          <t>Yes</t>
        </is>
      </c>
      <c r="AK114" s="20" t="inlineStr">
        <is>
          <t>No</t>
        </is>
      </c>
      <c r="AL114" s="20" t="inlineStr">
        <is>
          <t>No</t>
        </is>
      </c>
      <c r="AM114" s="20" t="inlineStr">
        <is>
          <t>No</t>
        </is>
      </c>
      <c r="AN114" s="20" t="inlineStr">
        <is>
          <t>No</t>
        </is>
      </c>
      <c r="AO114" s="20" t="inlineStr">
        <is>
          <t>Yes</t>
        </is>
      </c>
      <c r="AP114" s="20" t="inlineStr">
        <is>
          <t>Retained as contextual; excluded from Land core</t>
        </is>
      </c>
      <c r="AQ114" s="92" t="n">
        <v>0</v>
      </c>
      <c r="AR114" s="92" t="n">
        <v>0</v>
      </c>
      <c r="AS114" s="92" t="n">
        <v>0</v>
      </c>
      <c r="AT114" s="92" t="n">
        <v>0</v>
      </c>
      <c r="AU114" s="92" t="n">
        <v>0</v>
      </c>
      <c r="AV114" s="92" t="n">
        <v>0</v>
      </c>
      <c r="AW114" s="92" t="n">
        <v>0</v>
      </c>
    </row>
    <row r="115">
      <c r="A115" s="20" t="inlineStr">
        <is>
          <t>SM-0111</t>
        </is>
      </c>
      <c r="B115" s="20" t="inlineStr">
        <is>
          <t>AME-CNELS-XHANGAR-2023-25</t>
        </is>
      </c>
      <c r="C115" s="98" t="inlineStr">
        <is>
          <t>2025-09-29</t>
        </is>
      </c>
      <c r="D115" s="92" t="n">
        <v>2025</v>
      </c>
      <c r="E115" s="20" t="inlineStr">
        <is>
          <t>United States</t>
        </is>
      </c>
      <c r="F115" s="20" t="inlineStr">
        <is>
          <t>U.S. Naval Research Laboratory</t>
        </is>
      </c>
      <c r="G115" s="20" t="inlineStr">
        <is>
          <t>U.S. NRL / ONR</t>
        </is>
      </c>
      <c r="H115" s="20" t="inlineStr">
        <is>
          <t>Navy</t>
        </is>
      </c>
      <c r="I115" s="20" t="inlineStr">
        <is>
          <t>Ametrine Inc. / Ametrine Technologies</t>
        </is>
      </c>
      <c r="J115" s="20" t="inlineStr">
        <is>
          <t>Ametrine Technologies</t>
        </is>
      </c>
      <c r="K115" s="20" t="inlineStr">
        <is>
          <t>USA</t>
        </is>
      </c>
      <c r="L115" s="20" t="inlineStr">
        <is>
          <t>Camouflage Netting &amp; Expeditionary Lifting Structures / X-Hangar</t>
        </is>
      </c>
      <c r="M115" s="20" t="inlineStr">
        <is>
          <t>Nets / Covers</t>
        </is>
      </c>
      <c r="N115" s="20" t="inlineStr">
        <is>
          <t>CNELS, operational test support and technology transition</t>
        </is>
      </c>
      <c r="O115" s="20" t="inlineStr">
        <is>
          <t>Multispectral</t>
        </is>
      </c>
      <c r="P115" s="20" t="inlineStr">
        <is>
          <t>Contract Award</t>
        </is>
      </c>
      <c r="Q115" s="20" t="n"/>
      <c r="R115" s="20" t="inlineStr">
        <is>
          <t>No</t>
        </is>
      </c>
      <c r="S115" s="99" t="n"/>
      <c r="T115" s="20" t="inlineStr">
        <is>
          <t>Unknown</t>
        </is>
      </c>
      <c r="U115" s="20" t="n"/>
      <c r="V115" s="100" t="inlineStr">
        <is>
          <t>18124872.04</t>
        </is>
      </c>
      <c r="W115" s="20" t="inlineStr">
        <is>
          <t>USD</t>
        </is>
      </c>
      <c r="X115" s="20" t="inlineStr">
        <is>
          <t>Firm-fixed-price contract value</t>
        </is>
      </c>
      <c r="Y115" s="20" t="inlineStr">
        <is>
          <t>Committed R&amp;D / validation contract; not production procurement</t>
        </is>
      </c>
      <c r="Z115" s="20" t="inlineStr">
        <is>
          <t>No</t>
        </is>
      </c>
      <c r="AA115" s="20" t="inlineStr">
        <is>
          <t>Development / Validation</t>
        </is>
      </c>
      <c r="AB115" s="20" t="inlineStr">
        <is>
          <t>Land</t>
        </is>
      </c>
      <c r="AC115" s="20" t="inlineStr">
        <is>
          <t>Yes</t>
        </is>
      </c>
      <c r="AD115" s="20" t="str"/>
      <c r="AE115" s="20" t="inlineStr">
        <is>
          <t>https://www.gdicaptureedge.highergov.com/contract-opportunity/camouflage-netting-a-n0017325c2461-award-n0017325c2461-ametrine-inc-10b1f/</t>
        </is>
      </c>
      <c r="AF115" s="20" t="inlineStr">
        <is>
          <t>Other credible third-party source (SAM-derived)</t>
        </is>
      </c>
      <c r="AG115" s="20" t="inlineStr">
        <is>
          <t>Secondary / aggregator</t>
        </is>
      </c>
      <c r="AH115" s="20" t="inlineStr">
        <is>
          <t>High</t>
        </is>
      </c>
      <c r="AI115" s="20" t="inlineStr">
        <is>
          <t>Firm-fixed-price contract for CNELS / third-generation X-Hangar improvements, operational test support and joint technology transition. End use is expeditionary shelter testing by USMC/USAF; classified Land by end use. Funded R&amp;D/validation, therefore not an Actual Order under this study definition.</t>
        </is>
      </c>
      <c r="AJ115" s="20" t="inlineStr">
        <is>
          <t>Yes</t>
        </is>
      </c>
      <c r="AK115" s="20" t="inlineStr">
        <is>
          <t>Yes</t>
        </is>
      </c>
      <c r="AL115" s="20" t="inlineStr">
        <is>
          <t>No</t>
        </is>
      </c>
      <c r="AM115" s="20" t="inlineStr">
        <is>
          <t>No</t>
        </is>
      </c>
      <c r="AN115" s="20" t="inlineStr">
        <is>
          <t>No</t>
        </is>
      </c>
      <c r="AO115" s="20" t="inlineStr">
        <is>
          <t>No</t>
        </is>
      </c>
      <c r="AP115" s="20" t="inlineStr">
        <is>
          <t>Included in Land core</t>
        </is>
      </c>
      <c r="AQ115" s="92" t="n">
        <v>0</v>
      </c>
      <c r="AR115" s="92" t="n">
        <v>0</v>
      </c>
      <c r="AS115" s="92" t="n">
        <v>0</v>
      </c>
      <c r="AT115" s="92" t="n">
        <v>0</v>
      </c>
      <c r="AU115" s="92" t="n">
        <v>0</v>
      </c>
      <c r="AV115" s="92" t="n">
        <v>0</v>
      </c>
      <c r="AW115" s="92" t="n">
        <v>0</v>
      </c>
    </row>
    <row r="116">
      <c r="A116" s="20" t="inlineStr">
        <is>
          <t>SM-0113</t>
        </is>
      </c>
      <c r="B116" s="20" t="inlineStr">
        <is>
          <t>CH-MSTS-2025</t>
        </is>
      </c>
      <c r="C116" s="98" t="inlineStr">
        <is>
          <t>2025-11-10</t>
        </is>
      </c>
      <c r="D116" s="92" t="n">
        <v>2025</v>
      </c>
      <c r="E116" s="20" t="inlineStr">
        <is>
          <t>Switzerland</t>
        </is>
      </c>
      <c r="F116" s="20" t="inlineStr">
        <is>
          <t>armasuisse</t>
        </is>
      </c>
      <c r="G116" s="20" t="inlineStr">
        <is>
          <t>armasuisse</t>
        </is>
      </c>
      <c r="H116" s="20" t="inlineStr">
        <is>
          <t>Defence / not disclosed</t>
        </is>
      </c>
      <c r="I116" s="20" t="inlineStr">
        <is>
          <t>Saab Barracuda / SSZ / Saro</t>
        </is>
      </c>
      <c r="J116" s="20" t="inlineStr">
        <is>
          <t>Saab Barracuda</t>
        </is>
      </c>
      <c r="K116" s="20" t="inlineStr">
        <is>
          <t>Sweden</t>
        </is>
      </c>
      <c r="L116" s="20" t="inlineStr">
        <is>
          <t>Multispectral Camouflage Systems (MSTS)</t>
        </is>
      </c>
      <c r="M116" s="20" t="inlineStr">
        <is>
          <t>Vehicle Camouflage System</t>
        </is>
      </c>
      <c r="N116" s="20" t="inlineStr">
        <is>
          <t>Three-supplier multispectral camouflage system selection</t>
        </is>
      </c>
      <c r="O116" s="20" t="inlineStr">
        <is>
          <t>Multispectral</t>
        </is>
      </c>
      <c r="P116" s="20" t="inlineStr">
        <is>
          <t>Product Selection</t>
        </is>
      </c>
      <c r="Q116" s="20" t="n"/>
      <c r="R116" s="20" t="inlineStr">
        <is>
          <t>No</t>
        </is>
      </c>
      <c r="S116" s="99" t="n"/>
      <c r="T116" s="20" t="inlineStr">
        <is>
          <t>Unknown</t>
        </is>
      </c>
      <c r="U116" s="20" t="n"/>
      <c r="V116" s="100" t="n"/>
      <c r="W116" s="20" t="n"/>
      <c r="X116" s="20" t="n"/>
      <c r="Y116" s="20" t="inlineStr">
        <is>
          <t>Obligated / signed if disclosed</t>
        </is>
      </c>
      <c r="Z116" s="20" t="inlineStr">
        <is>
          <t>No</t>
        </is>
      </c>
      <c r="AA116" s="20" t="inlineStr">
        <is>
          <t>Selection</t>
        </is>
      </c>
      <c r="AB116" s="20" t="inlineStr">
        <is>
          <t>Land</t>
        </is>
      </c>
      <c r="AC116" s="20" t="inlineStr">
        <is>
          <t>Yes</t>
        </is>
      </c>
      <c r="AD116" s="20" t="n"/>
      <c r="AE116" s="20" t="inlineStr">
        <is>
          <t>https://www.vbs.admin.ch/fr/communiques-de-presse</t>
        </is>
      </c>
      <c r="AF116" s="20" t="inlineStr">
        <is>
          <t>Official government / MOD procurement source</t>
        </is>
      </c>
      <c r="AG116" s="20" t="inlineStr">
        <is>
          <t>Primary / official</t>
        </is>
      </c>
      <c r="AH116" s="20" t="inlineStr">
        <is>
          <t>High</t>
        </is>
      </c>
      <c r="AI116" s="20" t="inlineStr">
        <is>
          <t>Same buyer procurement selected three suppliers; aggregate buyer-side procurement once using Related Procurement ID if counting procurements rather than supplier awards. Consolidated as one buyer decision, not one event per supplier.</t>
        </is>
      </c>
      <c r="AJ116" s="20" t="inlineStr">
        <is>
          <t>Yes</t>
        </is>
      </c>
      <c r="AK116" s="20" t="inlineStr">
        <is>
          <t>No</t>
        </is>
      </c>
      <c r="AL116" s="20" t="inlineStr">
        <is>
          <t>No</t>
        </is>
      </c>
      <c r="AM116" s="20" t="inlineStr">
        <is>
          <t>No</t>
        </is>
      </c>
      <c r="AN116" s="20" t="inlineStr">
        <is>
          <t>No</t>
        </is>
      </c>
      <c r="AO116" s="20" t="inlineStr">
        <is>
          <t>Yes</t>
        </is>
      </c>
      <c r="AP116" s="20" t="inlineStr">
        <is>
          <t>Included in Land core</t>
        </is>
      </c>
      <c r="AQ116" s="92" t="n">
        <v>0</v>
      </c>
      <c r="AR116" s="92" t="n">
        <v>0</v>
      </c>
      <c r="AS116" s="92" t="n">
        <v>0</v>
      </c>
      <c r="AT116" s="92" t="n">
        <v>0</v>
      </c>
      <c r="AU116" s="92" t="n">
        <v>0</v>
      </c>
      <c r="AV116" s="92" t="n">
        <v>0</v>
      </c>
      <c r="AW116" s="92" t="n">
        <v>0</v>
      </c>
    </row>
    <row r="117">
      <c r="A117" s="20" t="inlineStr">
        <is>
          <t>SM-0115</t>
        </is>
      </c>
      <c r="B117" s="20" t="inlineStr">
        <is>
          <t>BE-SEYNTEX-SIOEN-2024-25</t>
        </is>
      </c>
      <c r="C117" s="98" t="inlineStr">
        <is>
          <t>2025-12-02</t>
        </is>
      </c>
      <c r="D117" s="92" t="n">
        <v>2025</v>
      </c>
      <c r="E117" s="20" t="inlineStr">
        <is>
          <t>Belgium</t>
        </is>
      </c>
      <c r="F117" s="20" t="inlineStr">
        <is>
          <t>Belgian Ministry of Defence</t>
        </is>
      </c>
      <c r="G117" s="20" t="inlineStr">
        <is>
          <t>Belgian Ministry of Defence</t>
        </is>
      </c>
      <c r="H117" s="20" t="inlineStr">
        <is>
          <t>Defence / not disclosed</t>
        </is>
      </c>
      <c r="I117" s="20" t="inlineStr">
        <is>
          <t>Seyntex International NV</t>
        </is>
      </c>
      <c r="J117" s="20" t="inlineStr">
        <is>
          <t>Seyntex</t>
        </is>
      </c>
      <c r="K117" s="20" t="inlineStr">
        <is>
          <t>Belgium</t>
        </is>
      </c>
      <c r="L117" s="20" t="inlineStr">
        <is>
          <t>24LA102</t>
        </is>
      </c>
      <c r="M117" s="20" t="inlineStr">
        <is>
          <t>Nets / Covers</t>
        </is>
      </c>
      <c r="N117" s="20" t="inlineStr">
        <is>
          <t>Multispectral camouflage nets</t>
        </is>
      </c>
      <c r="O117" s="20" t="inlineStr">
        <is>
          <t>Multispectral</t>
        </is>
      </c>
      <c r="P117" s="20" t="inlineStr">
        <is>
          <t>Tender</t>
        </is>
      </c>
      <c r="Q117" s="20" t="n"/>
      <c r="R117" s="20" t="inlineStr">
        <is>
          <t>No</t>
        </is>
      </c>
      <c r="S117" s="99" t="n"/>
      <c r="T117" s="20" t="inlineStr">
        <is>
          <t>Unknown</t>
        </is>
      </c>
      <c r="U117" s="20" t="n"/>
      <c r="V117" s="100" t="n"/>
      <c r="W117" s="20" t="n"/>
      <c r="X117" s="20" t="n"/>
      <c r="Y117" s="20" t="inlineStr">
        <is>
          <t>Obligated / signed if disclosed</t>
        </is>
      </c>
      <c r="Z117" s="20" t="inlineStr">
        <is>
          <t>No</t>
        </is>
      </c>
      <c r="AA117" s="20" t="inlineStr">
        <is>
          <t>Demand</t>
        </is>
      </c>
      <c r="AB117" s="20" t="inlineStr">
        <is>
          <t>Land</t>
        </is>
      </c>
      <c r="AC117" s="20" t="inlineStr">
        <is>
          <t>Yes</t>
        </is>
      </c>
      <c r="AD117" s="20" t="n"/>
      <c r="AE117" s="20" t="inlineStr">
        <is>
          <t>https://planframe.com/nl/details-openbare-aanbesteding/ministere-de-la-defense/2klw6s0y5bru7v2mg5vsd31f7</t>
        </is>
      </c>
      <c r="AF117" s="20" t="inlineStr">
        <is>
          <t>Other credible third-party source</t>
        </is>
      </c>
      <c r="AG117" s="20" t="inlineStr">
        <is>
          <t>Secondary / aggregator</t>
        </is>
      </c>
      <c r="AH117" s="20" t="inlineStr">
        <is>
          <t>High</t>
        </is>
      </c>
      <c r="AI117" s="20" t="inlineStr">
        <is>
          <t>Formal tender stage linked to the 2024 procurement-approval milestone.</t>
        </is>
      </c>
      <c r="AJ117" s="20" t="inlineStr">
        <is>
          <t>Yes</t>
        </is>
      </c>
      <c r="AK117" s="20" t="inlineStr">
        <is>
          <t>No</t>
        </is>
      </c>
      <c r="AL117" s="20" t="inlineStr">
        <is>
          <t>No</t>
        </is>
      </c>
      <c r="AM117" s="20" t="inlineStr">
        <is>
          <t>No</t>
        </is>
      </c>
      <c r="AN117" s="20" t="inlineStr">
        <is>
          <t>No</t>
        </is>
      </c>
      <c r="AO117" s="20" t="inlineStr">
        <is>
          <t>Yes</t>
        </is>
      </c>
      <c r="AP117" s="20" t="inlineStr">
        <is>
          <t>Included in Land core</t>
        </is>
      </c>
      <c r="AQ117" s="92" t="n">
        <v>1</v>
      </c>
      <c r="AR117" s="92" t="n">
        <v>0</v>
      </c>
      <c r="AS117" s="92" t="n">
        <v>1</v>
      </c>
      <c r="AT117" s="92" t="n">
        <v>1</v>
      </c>
      <c r="AU117" s="92" t="n">
        <v>1</v>
      </c>
      <c r="AV117" s="92" t="n">
        <v>0</v>
      </c>
      <c r="AW117" s="92" t="n">
        <v>0</v>
      </c>
    </row>
    <row r="118">
      <c r="A118" s="20" t="inlineStr">
        <is>
          <t>SM-0116</t>
        </is>
      </c>
      <c r="B118" s="20" t="inlineStr">
        <is>
          <t>DE-SMT-2024-25</t>
        </is>
      </c>
      <c r="C118" s="98" t="inlineStr">
        <is>
          <t>2025-12-18</t>
        </is>
      </c>
      <c r="D118" s="92" t="n">
        <v>2025</v>
      </c>
      <c r="E118" s="20" t="inlineStr">
        <is>
          <t>Germany</t>
        </is>
      </c>
      <c r="F118" s="20" t="inlineStr">
        <is>
          <t>BAAINBw / Bundeswehr</t>
        </is>
      </c>
      <c r="G118" s="20" t="inlineStr">
        <is>
          <t>BAAINBw / Bundeswehr</t>
        </is>
      </c>
      <c r="H118" s="20" t="inlineStr">
        <is>
          <t>Defence / not disclosed</t>
        </is>
      </c>
      <c r="I118" s="20" t="inlineStr">
        <is>
          <t>Sioen Industries NV</t>
        </is>
      </c>
      <c r="J118" s="20" t="inlineStr">
        <is>
          <t>Sioen Industries</t>
        </is>
      </c>
      <c r="K118" s="20" t="inlineStr">
        <is>
          <t>Belgium</t>
        </is>
      </c>
      <c r="L118" s="20" t="inlineStr">
        <is>
          <t>Stationäre multispektrale Tarnausstattung (SMT)</t>
        </is>
      </c>
      <c r="M118" s="20" t="inlineStr">
        <is>
          <t>Nets / Covers</t>
        </is>
      </c>
      <c r="N118" s="20" t="inlineStr">
        <is>
          <t>Stationary multispectral camouflage equipment</t>
        </is>
      </c>
      <c r="O118" s="20" t="inlineStr">
        <is>
          <t>Multispectral</t>
        </is>
      </c>
      <c r="P118" s="20" t="inlineStr">
        <is>
          <t>Framework / IDIQ</t>
        </is>
      </c>
      <c r="Q118" s="20" t="n"/>
      <c r="R118" s="20" t="inlineStr">
        <is>
          <t>No</t>
        </is>
      </c>
      <c r="S118" s="99" t="n"/>
      <c r="T118" s="20" t="inlineStr">
        <is>
          <t>nets</t>
        </is>
      </c>
      <c r="U118" s="20" t="n"/>
      <c r="V118" s="100" t="inlineStr">
        <is>
          <t>580000000</t>
        </is>
      </c>
      <c r="W118" s="20" t="inlineStr">
        <is>
          <t>EUR</t>
        </is>
      </c>
      <c r="X118" s="20" t="inlineStr">
        <is>
          <t>Framework ceiling / maximum; not sales</t>
        </is>
      </c>
      <c r="Y118" s="20" t="inlineStr">
        <is>
          <t>Framework / ceiling</t>
        </is>
      </c>
      <c r="Z118" s="20" t="inlineStr">
        <is>
          <t>No</t>
        </is>
      </c>
      <c r="AA118" s="20" t="inlineStr">
        <is>
          <t>Framework</t>
        </is>
      </c>
      <c r="AB118" s="20" t="inlineStr">
        <is>
          <t>Land</t>
        </is>
      </c>
      <c r="AC118" s="20" t="inlineStr">
        <is>
          <t>Yes</t>
        </is>
      </c>
      <c r="AD118" s="20" t="n"/>
      <c r="AE118" s="20" t="inlineStr">
        <is>
          <t>https://ausschreibungen-deutschland.de/2434141_Deutschland__Tarnueberzuege__Stationaere_multispektrale_Tarnausstattung_SMT_2026_Koblenz</t>
        </is>
      </c>
      <c r="AF118" s="20" t="inlineStr">
        <is>
          <t>Official procurement notice + official supplier-chain announcement</t>
        </is>
      </c>
      <c r="AG118" s="20" t="inlineStr">
        <is>
          <t>Primary / official</t>
        </is>
      </c>
      <c r="AH118" s="20" t="inlineStr">
        <is>
          <t>High</t>
        </is>
      </c>
      <c r="AI118" s="20" t="inlineStr">
        <is>
          <t>Framework ceiling is not actual sales; keep separate from the initial firm call-off/order value. Row corrected to hold the EUR580m framework ceiling; the EUR48m initial firm call-off is a separate event.</t>
        </is>
      </c>
      <c r="AJ118" s="20" t="inlineStr">
        <is>
          <t>Yes</t>
        </is>
      </c>
      <c r="AK118" s="20" t="inlineStr">
        <is>
          <t>Yes</t>
        </is>
      </c>
      <c r="AL118" s="20" t="inlineStr">
        <is>
          <t>No</t>
        </is>
      </c>
      <c r="AM118" s="20" t="inlineStr">
        <is>
          <t>No</t>
        </is>
      </c>
      <c r="AN118" s="20" t="inlineStr">
        <is>
          <t>No</t>
        </is>
      </c>
      <c r="AO118" s="20" t="inlineStr">
        <is>
          <t>Yes</t>
        </is>
      </c>
      <c r="AP118" s="20" t="inlineStr">
        <is>
          <t>Included in Land core</t>
        </is>
      </c>
      <c r="AQ118" s="92" t="n">
        <v>1</v>
      </c>
      <c r="AR118" s="92" t="n">
        <v>0</v>
      </c>
      <c r="AS118" s="92" t="n">
        <v>1</v>
      </c>
      <c r="AT118" s="92" t="n">
        <v>1</v>
      </c>
      <c r="AU118" s="92" t="n">
        <v>1</v>
      </c>
      <c r="AV118" s="92" t="n">
        <v>0</v>
      </c>
      <c r="AW118" s="92" t="n">
        <v>0</v>
      </c>
    </row>
    <row r="119">
      <c r="A119" s="20" t="inlineStr">
        <is>
          <t>SM-0117</t>
        </is>
      </c>
      <c r="B119" s="20" t="inlineStr">
        <is>
          <t>DE-SMT-2024-25</t>
        </is>
      </c>
      <c r="C119" s="98" t="inlineStr">
        <is>
          <t>2025-12-18</t>
        </is>
      </c>
      <c r="D119" s="92" t="n">
        <v>2025</v>
      </c>
      <c r="E119" s="20" t="inlineStr">
        <is>
          <t>Germany</t>
        </is>
      </c>
      <c r="F119" s="20" t="inlineStr">
        <is>
          <t>BAAINBw / Bundeswehr</t>
        </is>
      </c>
      <c r="G119" s="20" t="inlineStr">
        <is>
          <t>BAAINBw / Bundeswehr</t>
        </is>
      </c>
      <c r="H119" s="20" t="inlineStr">
        <is>
          <t>Army / Land</t>
        </is>
      </c>
      <c r="I119" s="20" t="inlineStr">
        <is>
          <t>Sioen Industries NV</t>
        </is>
      </c>
      <c r="J119" s="20" t="inlineStr">
        <is>
          <t>Sioen Industries</t>
        </is>
      </c>
      <c r="K119" s="20" t="inlineStr">
        <is>
          <t>Belgium</t>
        </is>
      </c>
      <c r="L119" s="20" t="inlineStr">
        <is>
          <t>Stationäre multispektrale Tarnausstattung (SMT) — initial call-off</t>
        </is>
      </c>
      <c r="M119" s="20" t="inlineStr">
        <is>
          <t>Static land systems</t>
        </is>
      </c>
      <c r="N119" s="20" t="inlineStr">
        <is>
          <t>Stationary multispectral camouflage equipment</t>
        </is>
      </c>
      <c r="O119" s="20" t="inlineStr">
        <is>
          <t>Multispectral</t>
        </is>
      </c>
      <c r="P119" s="20" t="inlineStr">
        <is>
          <t>Initial call-off order</t>
        </is>
      </c>
      <c r="Q119" s="20" t="inlineStr">
        <is>
          <t>Order</t>
        </is>
      </c>
      <c r="R119" s="20" t="inlineStr">
        <is>
          <t>Yes</t>
        </is>
      </c>
      <c r="S119" s="99" t="n"/>
      <c r="T119" s="20" t="inlineStr">
        <is>
          <t>Unknown</t>
        </is>
      </c>
      <c r="U119" s="20" t="inlineStr">
        <is>
          <t>Firm call-off quantity undisclosed</t>
        </is>
      </c>
      <c r="V119" s="100" t="inlineStr">
        <is>
          <t>48000000</t>
        </is>
      </c>
      <c r="W119" s="20" t="inlineStr">
        <is>
          <t>EUR</t>
        </is>
      </c>
      <c r="X119" s="20" t="inlineStr">
        <is>
          <t>Initial firm call-off; separate from EUR580m framework ceiling</t>
        </is>
      </c>
      <c r="Y119" s="20" t="inlineStr">
        <is>
          <t>Framework / ceiling</t>
        </is>
      </c>
      <c r="Z119" s="20" t="inlineStr">
        <is>
          <t>No</t>
        </is>
      </c>
      <c r="AA119" s="20" t="inlineStr">
        <is>
          <t>Production Procurement</t>
        </is>
      </c>
      <c r="AB119" s="20" t="inlineStr">
        <is>
          <t>Land</t>
        </is>
      </c>
      <c r="AC119" s="20" t="inlineStr">
        <is>
          <t>Yes</t>
        </is>
      </c>
      <c r="AD119" s="20" t="n"/>
      <c r="AE119" s="20" t="inlineStr">
        <is>
          <t>https://ausschreibungen-deutschland.de/2434141_Deutschland__Tarnueberzuege__Stationaere_multispektrale_Tarnausstattung_SMT_2026_Koblenz</t>
        </is>
      </c>
      <c r="AF119" s="20" t="inlineStr">
        <is>
          <t>Official procurement notice / supplier-chain corroboration</t>
        </is>
      </c>
      <c r="AG119" s="20" t="inlineStr">
        <is>
          <t>Primary / official</t>
        </is>
      </c>
      <c r="AH119" s="20" t="inlineStr">
        <is>
          <t>High</t>
        </is>
      </c>
      <c r="AI119" s="20" t="inlineStr">
        <is>
          <t>Framework and initial firm order are separated into distinct lifecycle events.</t>
        </is>
      </c>
      <c r="AJ119" s="20" t="inlineStr">
        <is>
          <t>No</t>
        </is>
      </c>
      <c r="AK119" s="20" t="inlineStr">
        <is>
          <t>No</t>
        </is>
      </c>
      <c r="AL119" s="20" t="inlineStr">
        <is>
          <t>No</t>
        </is>
      </c>
      <c r="AM119" s="20" t="inlineStr">
        <is>
          <t>Yes</t>
        </is>
      </c>
      <c r="AN119" s="20" t="inlineStr">
        <is>
          <t>No</t>
        </is>
      </c>
      <c r="AO119" s="20" t="inlineStr">
        <is>
          <t>Yes</t>
        </is>
      </c>
      <c r="AP119" s="20" t="inlineStr">
        <is>
          <t>Included in Land core</t>
        </is>
      </c>
      <c r="AQ119" s="92" t="n">
        <v>0</v>
      </c>
      <c r="AR119" s="92" t="n">
        <v>1</v>
      </c>
      <c r="AS119" s="92" t="n">
        <v>0</v>
      </c>
      <c r="AT119" s="92" t="n">
        <v>0</v>
      </c>
      <c r="AU119" s="92" t="n">
        <v>0</v>
      </c>
      <c r="AV119" s="92" t="n">
        <v>0</v>
      </c>
      <c r="AW119" s="92" t="n">
        <v>0</v>
      </c>
    </row>
    <row r="120">
      <c r="A120" s="20" t="inlineStr">
        <is>
          <t>SM-0114</t>
        </is>
      </c>
      <c r="B120" s="20" t="inlineStr">
        <is>
          <t>DE-SMT-2024-25</t>
        </is>
      </c>
      <c r="C120" s="98" t="inlineStr">
        <is>
          <t>2025-11</t>
        </is>
      </c>
      <c r="D120" s="92" t="n">
        <v>2025</v>
      </c>
      <c r="E120" s="20" t="inlineStr">
        <is>
          <t>Germany</t>
        </is>
      </c>
      <c r="F120" s="20" t="inlineStr">
        <is>
          <t>German Bundestag Budget Committee (Haushaltsausschuss) / BAAINBw</t>
        </is>
      </c>
      <c r="G120" s="20" t="inlineStr">
        <is>
          <t>BAAINBw / Bundeswehr</t>
        </is>
      </c>
      <c r="H120" s="20" t="inlineStr">
        <is>
          <t>Defence / not disclosed</t>
        </is>
      </c>
      <c r="I120" s="20" t="inlineStr">
        <is>
          <t>Sioen Industries NV</t>
        </is>
      </c>
      <c r="J120" s="20" t="inlineStr">
        <is>
          <t>Sioen Industries</t>
        </is>
      </c>
      <c r="K120" s="20" t="inlineStr">
        <is>
          <t>Belgium</t>
        </is>
      </c>
      <c r="L120" s="20" t="inlineStr">
        <is>
          <t>Stationäre multispektrale Tarnausstattung (SMT)</t>
        </is>
      </c>
      <c r="M120" s="20" t="inlineStr">
        <is>
          <t>Nets / Covers</t>
        </is>
      </c>
      <c r="N120" s="20" t="inlineStr">
        <is>
          <t>Stationary multispectral camouflage equipment</t>
        </is>
      </c>
      <c r="O120" s="20" t="inlineStr">
        <is>
          <t>Multispectral</t>
        </is>
      </c>
      <c r="P120" s="20" t="inlineStr">
        <is>
          <t>Other</t>
        </is>
      </c>
      <c r="Q120" s="20" t="n"/>
      <c r="R120" s="20" t="inlineStr">
        <is>
          <t>No</t>
        </is>
      </c>
      <c r="S120" s="99" t="n"/>
      <c r="T120" s="20" t="inlineStr">
        <is>
          <t>nets</t>
        </is>
      </c>
      <c r="U120" s="20" t="n"/>
      <c r="V120" s="100" t="n"/>
      <c r="W120" s="20" t="n"/>
      <c r="X120" s="20" t="n"/>
      <c r="Y120" s="20" t="inlineStr">
        <is>
          <t>Obligated / signed if disclosed</t>
        </is>
      </c>
      <c r="Z120" s="20" t="inlineStr">
        <is>
          <t>No</t>
        </is>
      </c>
      <c r="AA120" s="20" t="inlineStr">
        <is>
          <t>Other public event</t>
        </is>
      </c>
      <c r="AB120" s="20" t="inlineStr">
        <is>
          <t>Land</t>
        </is>
      </c>
      <c r="AC120" s="20" t="inlineStr">
        <is>
          <t>Yes</t>
        </is>
      </c>
      <c r="AD120" s="20" t="n"/>
      <c r="AE120" s="20" t="inlineStr">
        <is>
          <t>https://www.hartpunkt.de/bundestag-stellt-der-bundeswehr-weitere-rund-3-85-milliarden-euro-fuer-beschaffungen-zur-verfuegung/</t>
        </is>
      </c>
      <c r="AF120" s="20" t="inlineStr">
        <is>
          <t>Official parliamentary/budget decision reported by reputable defence-industry sources</t>
        </is>
      </c>
      <c r="AG120" s="20" t="inlineStr">
        <is>
          <t>Secondary / aggregator</t>
        </is>
      </c>
      <c r="AH120" s="20" t="inlineStr">
        <is>
          <t>High</t>
        </is>
      </c>
      <c r="AI120" s="20" t="inlineStr">
        <is>
          <t>Budget-authorisation milestone only — NOT a sale and NOT an addition to SIO-2025-01. It independently corroborates the EUR 580m ceiling / EUR 48m first call-off split recorded in SIO-2025-01. Do not sum.</t>
        </is>
      </c>
      <c r="AJ120" s="20" t="inlineStr">
        <is>
          <t>Yes</t>
        </is>
      </c>
      <c r="AK120" s="20" t="inlineStr">
        <is>
          <t>No</t>
        </is>
      </c>
      <c r="AL120" s="20" t="inlineStr">
        <is>
          <t>No</t>
        </is>
      </c>
      <c r="AM120" s="20" t="inlineStr">
        <is>
          <t>No</t>
        </is>
      </c>
      <c r="AN120" s="20" t="inlineStr">
        <is>
          <t>No</t>
        </is>
      </c>
      <c r="AO120" s="20" t="inlineStr">
        <is>
          <t>Yes</t>
        </is>
      </c>
      <c r="AP120" s="20" t="inlineStr">
        <is>
          <t>Included in Land core</t>
        </is>
      </c>
      <c r="AQ120" s="92" t="n">
        <v>0</v>
      </c>
      <c r="AR120" s="92" t="n">
        <v>0</v>
      </c>
      <c r="AS120" s="92" t="n">
        <v>0</v>
      </c>
      <c r="AT120" s="92" t="n">
        <v>0</v>
      </c>
      <c r="AU120" s="92" t="n">
        <v>0</v>
      </c>
      <c r="AV120" s="92" t="n">
        <v>0</v>
      </c>
      <c r="AW120" s="92" t="n">
        <v>0</v>
      </c>
    </row>
    <row r="121">
      <c r="A121" s="20" t="inlineStr">
        <is>
          <t>SM-0118</t>
        </is>
      </c>
      <c r="B121" s="20" t="inlineStr">
        <is>
          <t>ULCANS-IDV-W911QY18D0210</t>
        </is>
      </c>
      <c r="C121" s="98" t="inlineStr">
        <is>
          <t>2025</t>
        </is>
      </c>
      <c r="D121" s="92" t="n">
        <v>2025</v>
      </c>
      <c r="E121" s="20" t="inlineStr">
        <is>
          <t>United States</t>
        </is>
      </c>
      <c r="F121" s="20" t="inlineStr">
        <is>
          <t>U.S. Army PEO CSCSS</t>
        </is>
      </c>
      <c r="G121" s="20" t="inlineStr">
        <is>
          <t>U.S. Army</t>
        </is>
      </c>
      <c r="H121" s="20" t="inlineStr">
        <is>
          <t>Army / Land</t>
        </is>
      </c>
      <c r="I121" s="20" t="inlineStr">
        <is>
          <t>Fibrotex USA Inc. / Fibrotex Technologies</t>
        </is>
      </c>
      <c r="J121" s="20" t="inlineStr">
        <is>
          <t>Fibrotex</t>
        </is>
      </c>
      <c r="K121" s="20" t="inlineStr">
        <is>
          <t>Israel / USA</t>
        </is>
      </c>
      <c r="L121" s="20" t="inlineStr">
        <is>
          <t>ULCANS</t>
        </is>
      </c>
      <c r="M121" s="20" t="inlineStr">
        <is>
          <t>Nets / Covers</t>
        </is>
      </c>
      <c r="N121" s="20" t="inlineStr">
        <is>
          <t>Camouflage Nets</t>
        </is>
      </c>
      <c r="O121" s="20" t="inlineStr">
        <is>
          <t>Multispectral</t>
        </is>
      </c>
      <c r="P121" s="20" t="inlineStr">
        <is>
          <t>Order</t>
        </is>
      </c>
      <c r="Q121" s="20" t="n"/>
      <c r="R121" s="20" t="inlineStr">
        <is>
          <t>Yes</t>
        </is>
      </c>
      <c r="S121" s="99" t="n"/>
      <c r="T121" s="20" t="inlineStr">
        <is>
          <t>Unknown</t>
        </is>
      </c>
      <c r="U121" s="20" t="n"/>
      <c r="V121" s="100" t="inlineStr">
        <is>
          <t>15600000.0</t>
        </is>
      </c>
      <c r="W121" s="20" t="inlineStr">
        <is>
          <t>USD</t>
        </is>
      </c>
      <c r="X121" s="20" t="n"/>
      <c r="Y121" s="20" t="inlineStr">
        <is>
          <t>Obligated / signed if disclosed</t>
        </is>
      </c>
      <c r="Z121" s="20" t="inlineStr">
        <is>
          <t>Yes</t>
        </is>
      </c>
      <c r="AA121" s="20" t="inlineStr">
        <is>
          <t>Production Procurement</t>
        </is>
      </c>
      <c r="AB121" s="20" t="inlineStr">
        <is>
          <t>Land</t>
        </is>
      </c>
      <c r="AC121" s="20" t="inlineStr">
        <is>
          <t>Yes</t>
        </is>
      </c>
      <c r="AD121" s="20" t="n"/>
      <c r="AE121" s="20" t="inlineStr">
        <is>
          <t>https://www.highergov.com/awardee/fibrotex-usa-inc-12685034/</t>
        </is>
      </c>
      <c r="AF121" s="20" t="inlineStr">
        <is>
          <t>Other credible third-party source (FPDS/SAM-derived)</t>
        </is>
      </c>
      <c r="AG121" s="20" t="inlineStr">
        <is>
          <t>Secondary / aggregator</t>
        </is>
      </c>
      <c r="AH121" s="20" t="inlineStr">
        <is>
          <t>High</t>
        </is>
      </c>
      <c r="AI121" s="20" t="inlineStr">
        <is>
          <t>Distinct delivery/order event. Parent ULCANS IDIQ ceiling is not counted as sales; amendments are not separate events.</t>
        </is>
      </c>
      <c r="AJ121" s="20" t="inlineStr">
        <is>
          <t>Yes</t>
        </is>
      </c>
      <c r="AK121" s="20" t="inlineStr">
        <is>
          <t>No</t>
        </is>
      </c>
      <c r="AL121" s="20" t="inlineStr">
        <is>
          <t>No</t>
        </is>
      </c>
      <c r="AM121" s="20" t="inlineStr">
        <is>
          <t>No</t>
        </is>
      </c>
      <c r="AN121" s="20" t="inlineStr">
        <is>
          <t>No</t>
        </is>
      </c>
      <c r="AO121" s="20" t="inlineStr">
        <is>
          <t>Yes</t>
        </is>
      </c>
      <c r="AP121" s="20" t="inlineStr">
        <is>
          <t>Included in Land core</t>
        </is>
      </c>
      <c r="AQ121" s="92" t="n">
        <v>0</v>
      </c>
      <c r="AR121" s="92" t="n">
        <v>0</v>
      </c>
      <c r="AS121" s="92" t="n">
        <v>0</v>
      </c>
      <c r="AT121" s="92" t="n">
        <v>0</v>
      </c>
      <c r="AU121" s="92" t="n">
        <v>0</v>
      </c>
      <c r="AV121" s="92" t="n">
        <v>0</v>
      </c>
      <c r="AW121" s="92" t="n">
        <v>1</v>
      </c>
    </row>
    <row r="122">
      <c r="A122" s="20" t="inlineStr">
        <is>
          <t>SM-0119</t>
        </is>
      </c>
      <c r="B122" s="20" t="inlineStr">
        <is>
          <t>ULCANS-IDV-W911QY18D0210</t>
        </is>
      </c>
      <c r="C122" s="98" t="inlineStr">
        <is>
          <t>2025</t>
        </is>
      </c>
      <c r="D122" s="92" t="n">
        <v>2025</v>
      </c>
      <c r="E122" s="20" t="inlineStr">
        <is>
          <t>United States</t>
        </is>
      </c>
      <c r="F122" s="20" t="inlineStr">
        <is>
          <t>U.S. Army PEO CSCSS</t>
        </is>
      </c>
      <c r="G122" s="20" t="inlineStr">
        <is>
          <t>U.S. Army</t>
        </is>
      </c>
      <c r="H122" s="20" t="inlineStr">
        <is>
          <t>Army / Land</t>
        </is>
      </c>
      <c r="I122" s="20" t="inlineStr">
        <is>
          <t>Fibrotex USA Inc. / Fibrotex Technologies</t>
        </is>
      </c>
      <c r="J122" s="20" t="inlineStr">
        <is>
          <t>Fibrotex</t>
        </is>
      </c>
      <c r="K122" s="20" t="inlineStr">
        <is>
          <t>Israel / USA</t>
        </is>
      </c>
      <c r="L122" s="20" t="inlineStr">
        <is>
          <t>ULCANS</t>
        </is>
      </c>
      <c r="M122" s="20" t="inlineStr">
        <is>
          <t>Nets / Covers</t>
        </is>
      </c>
      <c r="N122" s="20" t="inlineStr">
        <is>
          <t>ULCANS Increment I Exportable</t>
        </is>
      </c>
      <c r="O122" s="20" t="inlineStr">
        <is>
          <t>Multispectral</t>
        </is>
      </c>
      <c r="P122" s="20" t="inlineStr">
        <is>
          <t>Order</t>
        </is>
      </c>
      <c r="Q122" s="20" t="n"/>
      <c r="R122" s="20" t="inlineStr">
        <is>
          <t>Yes</t>
        </is>
      </c>
      <c r="S122" s="99" t="n"/>
      <c r="T122" s="20" t="inlineStr">
        <is>
          <t>Unknown</t>
        </is>
      </c>
      <c r="U122" s="20" t="n"/>
      <c r="V122" s="100" t="inlineStr">
        <is>
          <t>3300000.0</t>
        </is>
      </c>
      <c r="W122" s="20" t="inlineStr">
        <is>
          <t>USD</t>
        </is>
      </c>
      <c r="X122" s="20" t="n"/>
      <c r="Y122" s="20" t="inlineStr">
        <is>
          <t>Obligated / signed if disclosed</t>
        </is>
      </c>
      <c r="Z122" s="20" t="inlineStr">
        <is>
          <t>Yes</t>
        </is>
      </c>
      <c r="AA122" s="20" t="inlineStr">
        <is>
          <t>Production Procurement</t>
        </is>
      </c>
      <c r="AB122" s="20" t="inlineStr">
        <is>
          <t>Land</t>
        </is>
      </c>
      <c r="AC122" s="20" t="inlineStr">
        <is>
          <t>Yes</t>
        </is>
      </c>
      <c r="AD122" s="20" t="n"/>
      <c r="AE122" s="20" t="inlineStr">
        <is>
          <t>https://www.highergov.com/awardee/fibrotex-usa-inc-12685034/</t>
        </is>
      </c>
      <c r="AF122" s="20" t="inlineStr">
        <is>
          <t>Other credible third-party source (FPDS/SAM-derived)</t>
        </is>
      </c>
      <c r="AG122" s="20" t="inlineStr">
        <is>
          <t>Secondary / aggregator</t>
        </is>
      </c>
      <c r="AH122" s="20" t="inlineStr">
        <is>
          <t>High</t>
        </is>
      </c>
      <c r="AI122" s="20" t="inlineStr">
        <is>
          <t>Distinct delivery/order event. Parent ULCANS IDIQ ceiling is not counted as sales; amendments are not separate events.</t>
        </is>
      </c>
      <c r="AJ122" s="20" t="inlineStr">
        <is>
          <t>Yes</t>
        </is>
      </c>
      <c r="AK122" s="20" t="inlineStr">
        <is>
          <t>No</t>
        </is>
      </c>
      <c r="AL122" s="20" t="inlineStr">
        <is>
          <t>No</t>
        </is>
      </c>
      <c r="AM122" s="20" t="inlineStr">
        <is>
          <t>No</t>
        </is>
      </c>
      <c r="AN122" s="20" t="inlineStr">
        <is>
          <t>No</t>
        </is>
      </c>
      <c r="AO122" s="20" t="inlineStr">
        <is>
          <t>Yes</t>
        </is>
      </c>
      <c r="AP122" s="20" t="inlineStr">
        <is>
          <t>Included in Land core</t>
        </is>
      </c>
      <c r="AQ122" s="92" t="n">
        <v>0</v>
      </c>
      <c r="AR122" s="92" t="n">
        <v>0</v>
      </c>
      <c r="AS122" s="92" t="n">
        <v>0</v>
      </c>
      <c r="AT122" s="92" t="n">
        <v>0</v>
      </c>
      <c r="AU122" s="92" t="n">
        <v>0</v>
      </c>
      <c r="AV122" s="92" t="n">
        <v>0</v>
      </c>
      <c r="AW122" s="92" t="n">
        <v>1</v>
      </c>
    </row>
    <row r="123">
      <c r="A123" s="20" t="inlineStr">
        <is>
          <t>SM-0120</t>
        </is>
      </c>
      <c r="B123" s="20" t="inlineStr">
        <is>
          <t>LU-BARRACUDA-2026</t>
        </is>
      </c>
      <c r="C123" s="98" t="inlineStr">
        <is>
          <t>2026-01-07</t>
        </is>
      </c>
      <c r="D123" s="92" t="n">
        <v>2026</v>
      </c>
      <c r="E123" s="20" t="inlineStr">
        <is>
          <t>Luxembourg</t>
        </is>
      </c>
      <c r="F123" s="20" t="inlineStr">
        <is>
          <t>Luxembourg defence procurement authority</t>
        </is>
      </c>
      <c r="G123" s="20" t="inlineStr">
        <is>
          <t>Luxembourg defence procurement authority</t>
        </is>
      </c>
      <c r="H123" s="20" t="inlineStr">
        <is>
          <t>Defence / not disclosed</t>
        </is>
      </c>
      <c r="I123" s="20" t="inlineStr">
        <is>
          <t>Saab AB / Saab Barracuda AB</t>
        </is>
      </c>
      <c r="J123" s="20" t="inlineStr">
        <is>
          <t>Saab Barracuda</t>
        </is>
      </c>
      <c r="K123" s="20" t="inlineStr">
        <is>
          <t>Sweden</t>
        </is>
      </c>
      <c r="L123" s="20" t="inlineStr">
        <is>
          <t>Scania MLST trucks</t>
        </is>
      </c>
      <c r="M123" s="20" t="inlineStr">
        <is>
          <t>Vehicle Camouflage System</t>
        </is>
      </c>
      <c r="N123" s="20" t="inlineStr">
        <is>
          <t>Saab Barracuda multispectral camouflage sets</t>
        </is>
      </c>
      <c r="O123" s="20" t="inlineStr">
        <is>
          <t>Multispectral</t>
        </is>
      </c>
      <c r="P123" s="20" t="inlineStr">
        <is>
          <t>Contract Award</t>
        </is>
      </c>
      <c r="Q123" s="20" t="n"/>
      <c r="R123" s="20" t="inlineStr">
        <is>
          <t>Yes</t>
        </is>
      </c>
      <c r="S123" s="99" t="inlineStr">
        <is>
          <t>32</t>
        </is>
      </c>
      <c r="T123" s="20" t="inlineStr">
        <is>
          <t>sets</t>
        </is>
      </c>
      <c r="U123" s="20" t="n"/>
      <c r="V123" s="100" t="inlineStr">
        <is>
          <t>487200.0</t>
        </is>
      </c>
      <c r="W123" s="20" t="inlineStr">
        <is>
          <t>EUR</t>
        </is>
      </c>
      <c r="X123" s="20" t="n"/>
      <c r="Y123" s="20" t="inlineStr">
        <is>
          <t>Obligated / signed if disclosed</t>
        </is>
      </c>
      <c r="Z123" s="20" t="inlineStr">
        <is>
          <t>No</t>
        </is>
      </c>
      <c r="AA123" s="20" t="inlineStr">
        <is>
          <t>Production Procurement</t>
        </is>
      </c>
      <c r="AB123" s="20" t="inlineStr">
        <is>
          <t>Land</t>
        </is>
      </c>
      <c r="AC123" s="20" t="inlineStr">
        <is>
          <t>Yes</t>
        </is>
      </c>
      <c r="AD123" s="20" t="n"/>
      <c r="AE123" s="20" t="inlineStr">
        <is>
          <t>https://op.europa.eu/en/web/public-procurement/procurement-details/-/procurement/897febac-b56f-46e5-a6c2-94f454929014</t>
        </is>
      </c>
      <c r="AF123" s="20" t="inlineStr">
        <is>
          <t>Official government / MOD procurement source</t>
        </is>
      </c>
      <c r="AG123" s="20" t="inlineStr">
        <is>
          <t>Primary / official</t>
        </is>
      </c>
      <c r="AH123" s="20" t="inlineStr">
        <is>
          <t>High</t>
        </is>
      </c>
      <c r="AI123" s="20" t="inlineStr">
        <is>
          <t>Distinct awarded contract.</t>
        </is>
      </c>
      <c r="AJ123" s="20" t="inlineStr">
        <is>
          <t>Yes</t>
        </is>
      </c>
      <c r="AK123" s="20" t="inlineStr">
        <is>
          <t>No</t>
        </is>
      </c>
      <c r="AL123" s="20" t="inlineStr">
        <is>
          <t>No</t>
        </is>
      </c>
      <c r="AM123" s="20" t="inlineStr">
        <is>
          <t>No</t>
        </is>
      </c>
      <c r="AN123" s="20" t="inlineStr">
        <is>
          <t>No</t>
        </is>
      </c>
      <c r="AO123" s="20" t="inlineStr">
        <is>
          <t>No</t>
        </is>
      </c>
      <c r="AP123" s="20" t="inlineStr">
        <is>
          <t>Included in Land core</t>
        </is>
      </c>
      <c r="AQ123" s="92" t="n">
        <v>1</v>
      </c>
      <c r="AR123" s="92" t="n">
        <v>1</v>
      </c>
      <c r="AS123" s="92" t="n">
        <v>1</v>
      </c>
      <c r="AT123" s="92" t="n">
        <v>1</v>
      </c>
      <c r="AU123" s="92" t="n">
        <v>1</v>
      </c>
      <c r="AV123" s="92" t="n">
        <v>1</v>
      </c>
      <c r="AW123" s="92" t="n">
        <v>0</v>
      </c>
    </row>
    <row r="124">
      <c r="A124" s="20" t="inlineStr">
        <is>
          <t>SM-0121</t>
        </is>
      </c>
      <c r="B124" s="20" t="inlineStr">
        <is>
          <t>JP-MEDS</t>
        </is>
      </c>
      <c r="C124" s="98" t="inlineStr">
        <is>
          <t>2026-01-22</t>
        </is>
      </c>
      <c r="D124" s="92" t="n">
        <v>2026</v>
      </c>
      <c r="E124" s="20" t="inlineStr">
        <is>
          <t>Japan</t>
        </is>
      </c>
      <c r="F124" s="20" t="inlineStr">
        <is>
          <t>Japan MOD / ATLA / JGSDF</t>
        </is>
      </c>
      <c r="G124" s="20" t="inlineStr">
        <is>
          <t>Japan MOD / JGSDF</t>
        </is>
      </c>
      <c r="H124" s="20" t="inlineStr">
        <is>
          <t>Army / Land</t>
        </is>
      </c>
      <c r="I124" s="20" t="inlineStr">
        <is>
          <t>Nippon Aircraft Supply (NAS)</t>
        </is>
      </c>
      <c r="J124" s="20" t="inlineStr">
        <is>
          <t>NAS / Fibrotex programme team</t>
        </is>
      </c>
      <c r="K124" s="20" t="inlineStr">
        <is>
          <t>Japan</t>
        </is>
      </c>
      <c r="L124" s="20" t="inlineStr">
        <is>
          <t>MEDS — communications/electronics equipment</t>
        </is>
      </c>
      <c r="M124" s="20" t="inlineStr">
        <is>
          <t>Communications/electronics equipment; JGSDF site</t>
        </is>
      </c>
      <c r="N124" s="20" t="inlineStr">
        <is>
          <t>Multiple Electromagnetic Disguise Net Set</t>
        </is>
      </c>
      <c r="O124" s="20" t="inlineStr">
        <is>
          <t>MEDS multispectral family</t>
        </is>
      </c>
      <c r="P124" s="20" t="inlineStr">
        <is>
          <t>Contract</t>
        </is>
      </c>
      <c r="Q124" s="20" t="inlineStr">
        <is>
          <t>Award</t>
        </is>
      </c>
      <c r="R124" s="20" t="inlineStr">
        <is>
          <t>Yes</t>
        </is>
      </c>
      <c r="S124" s="99" t="inlineStr">
        <is>
          <t>36</t>
        </is>
      </c>
      <c r="T124" s="20" t="inlineStr">
        <is>
          <t>sets</t>
        </is>
      </c>
      <c r="U124" s="20" t="inlineStr">
        <is>
          <t>Contracted sets</t>
        </is>
      </c>
      <c r="V124" s="100" t="inlineStr">
        <is>
          <t>140932000</t>
        </is>
      </c>
      <c r="W124" s="20" t="inlineStr">
        <is>
          <t>JPY</t>
        </is>
      </c>
      <c r="X124" s="20" t="inlineStr">
        <is>
          <t>Reported signed contract value; secondary transcription</t>
        </is>
      </c>
      <c r="Y124" s="20" t="inlineStr">
        <is>
          <t>Obligated / signed if disclosed</t>
        </is>
      </c>
      <c r="Z124" s="20" t="inlineStr">
        <is>
          <t>Yes</t>
        </is>
      </c>
      <c r="AA124" s="20" t="inlineStr">
        <is>
          <t>Production Procurement</t>
        </is>
      </c>
      <c r="AB124" s="20" t="inlineStr">
        <is>
          <t>Land</t>
        </is>
      </c>
      <c r="AC124" s="20" t="inlineStr">
        <is>
          <t>Yes</t>
        </is>
      </c>
      <c r="AD124" s="20" t="n"/>
      <c r="AE124" s="20" t="inlineStr">
        <is>
          <t>https://www2.njss.info/offers/view/32278794</t>
        </is>
      </c>
      <c r="AF124" s="20" t="inlineStr">
        <is>
          <t>Japanese procurement result record</t>
        </is>
      </c>
      <c r="AG124" s="20" t="inlineStr">
        <is>
          <t>Secondary / aggregator</t>
        </is>
      </c>
      <c r="AH124" s="20" t="inlineStr">
        <is>
          <t>Medium</t>
        </is>
      </c>
      <c r="AI124" s="20" t="inlineStr">
        <is>
          <t>Likely land-relevant; verify equipment/platform mapping before final metrics.</t>
        </is>
      </c>
      <c r="AJ124" s="20" t="inlineStr">
        <is>
          <t>No</t>
        </is>
      </c>
      <c r="AK124" s="20" t="inlineStr">
        <is>
          <t>No</t>
        </is>
      </c>
      <c r="AL124" s="20" t="inlineStr">
        <is>
          <t>No</t>
        </is>
      </c>
      <c r="AM124" s="20" t="inlineStr">
        <is>
          <t>Yes</t>
        </is>
      </c>
      <c r="AN124" s="20" t="inlineStr">
        <is>
          <t>No</t>
        </is>
      </c>
      <c r="AO124" s="20" t="inlineStr">
        <is>
          <t>Yes</t>
        </is>
      </c>
      <c r="AP124" s="20" t="inlineStr">
        <is>
          <t>Included in Land core</t>
        </is>
      </c>
      <c r="AQ124" s="92" t="n">
        <v>1</v>
      </c>
      <c r="AR124" s="92" t="n">
        <v>1</v>
      </c>
      <c r="AS124" s="92" t="n">
        <v>1</v>
      </c>
      <c r="AT124" s="92" t="n">
        <v>1</v>
      </c>
      <c r="AU124" s="92" t="n">
        <v>1</v>
      </c>
      <c r="AV124" s="92" t="n">
        <v>0</v>
      </c>
      <c r="AW124" s="92" t="n">
        <v>1</v>
      </c>
    </row>
    <row r="125">
      <c r="A125" s="20" t="inlineStr">
        <is>
          <t>SM-0122</t>
        </is>
      </c>
      <c r="B125" s="20" t="inlineStr">
        <is>
          <t>JP-MEDS</t>
        </is>
      </c>
      <c r="C125" s="98" t="inlineStr">
        <is>
          <t>2026-01-22</t>
        </is>
      </c>
      <c r="D125" s="92" t="n">
        <v>2026</v>
      </c>
      <c r="E125" s="20" t="inlineStr">
        <is>
          <t>Japan</t>
        </is>
      </c>
      <c r="F125" s="20" t="inlineStr">
        <is>
          <t>Japan MOD / ATLA</t>
        </is>
      </c>
      <c r="G125" s="20" t="inlineStr">
        <is>
          <t>Japan MOD / JGSDF</t>
        </is>
      </c>
      <c r="H125" s="20" t="inlineStr">
        <is>
          <t>Army / Land</t>
        </is>
      </c>
      <c r="I125" s="20" t="inlineStr">
        <is>
          <t>Nippon Aircraft Supply (NAS)</t>
        </is>
      </c>
      <c r="J125" s="20" t="inlineStr">
        <is>
          <t>NAS / Fibrotex programme team</t>
        </is>
      </c>
      <c r="K125" s="20" t="inlineStr">
        <is>
          <t>Japan</t>
        </is>
      </c>
      <c r="L125" s="20" t="inlineStr">
        <is>
          <t>MEDS — guided-weapons equipment</t>
        </is>
      </c>
      <c r="M125" s="20" t="inlineStr">
        <is>
          <t>Guided-weapons equipment; exact land platform linkage to verify</t>
        </is>
      </c>
      <c r="N125" s="20" t="inlineStr">
        <is>
          <t>Multiple Electromagnetic Disguise Net Set</t>
        </is>
      </c>
      <c r="O125" s="20" t="inlineStr">
        <is>
          <t>MEDS multispectral family</t>
        </is>
      </c>
      <c r="P125" s="20" t="inlineStr">
        <is>
          <t>Contract</t>
        </is>
      </c>
      <c r="Q125" s="20" t="inlineStr">
        <is>
          <t>Award</t>
        </is>
      </c>
      <c r="R125" s="20" t="inlineStr">
        <is>
          <t>Yes</t>
        </is>
      </c>
      <c r="S125" s="99" t="inlineStr">
        <is>
          <t>67</t>
        </is>
      </c>
      <c r="T125" s="20" t="inlineStr">
        <is>
          <t>sets</t>
        </is>
      </c>
      <c r="U125" s="20" t="inlineStr">
        <is>
          <t>Contracted sets</t>
        </is>
      </c>
      <c r="V125" s="100" t="inlineStr">
        <is>
          <t>Not disclosed</t>
        </is>
      </c>
      <c r="W125" s="20" t="n"/>
      <c r="X125" s="20" t="n"/>
      <c r="Y125" s="20" t="inlineStr">
        <is>
          <t>Obligated / signed if disclosed</t>
        </is>
      </c>
      <c r="Z125" s="20" t="inlineStr">
        <is>
          <t>Yes</t>
        </is>
      </c>
      <c r="AA125" s="20" t="inlineStr">
        <is>
          <t>Production Procurement</t>
        </is>
      </c>
      <c r="AB125" s="20" t="inlineStr">
        <is>
          <t>Land</t>
        </is>
      </c>
      <c r="AC125" s="20" t="inlineStr">
        <is>
          <t>Yes</t>
        </is>
      </c>
      <c r="AD125" s="20" t="n"/>
      <c r="AE125" s="20" t="inlineStr">
        <is>
          <t>https://www2.njss.info/offers/view/32278862</t>
        </is>
      </c>
      <c r="AF125" s="20" t="inlineStr">
        <is>
          <t>Japanese procurement result record</t>
        </is>
      </c>
      <c r="AG125" s="20" t="inlineStr">
        <is>
          <t>Secondary / aggregator</t>
        </is>
      </c>
      <c r="AH125" s="20" t="inlineStr">
        <is>
          <t>Medium</t>
        </is>
      </c>
      <c r="AI125" s="20" t="inlineStr">
        <is>
          <t>Supplier contract is visible; exact platform category should be checked before inclusion in land-only metrics.</t>
        </is>
      </c>
      <c r="AJ125" s="20" t="inlineStr">
        <is>
          <t>No</t>
        </is>
      </c>
      <c r="AK125" s="20" t="inlineStr">
        <is>
          <t>No</t>
        </is>
      </c>
      <c r="AL125" s="20" t="inlineStr">
        <is>
          <t>No</t>
        </is>
      </c>
      <c r="AM125" s="20" t="inlineStr">
        <is>
          <t>Yes</t>
        </is>
      </c>
      <c r="AN125" s="20" t="inlineStr">
        <is>
          <t>No</t>
        </is>
      </c>
      <c r="AO125" s="20" t="inlineStr">
        <is>
          <t>Yes</t>
        </is>
      </c>
      <c r="AP125" s="20" t="inlineStr">
        <is>
          <t>Included in Land core</t>
        </is>
      </c>
      <c r="AQ125" s="92" t="n">
        <v>0</v>
      </c>
      <c r="AR125" s="92" t="n">
        <v>0</v>
      </c>
      <c r="AS125" s="92" t="n">
        <v>0</v>
      </c>
      <c r="AT125" s="92" t="n">
        <v>0</v>
      </c>
      <c r="AU125" s="92" t="n">
        <v>0</v>
      </c>
      <c r="AV125" s="92" t="n">
        <v>0</v>
      </c>
      <c r="AW125" s="92" t="n">
        <v>1</v>
      </c>
    </row>
    <row r="126">
      <c r="A126" s="20" t="inlineStr">
        <is>
          <t>SM-0123</t>
        </is>
      </c>
      <c r="B126" s="20" t="inlineStr">
        <is>
          <t>JP-MEDS</t>
        </is>
      </c>
      <c r="C126" s="98" t="inlineStr">
        <is>
          <t>2026-01-23</t>
        </is>
      </c>
      <c r="D126" s="92" t="n">
        <v>2026</v>
      </c>
      <c r="E126" s="20" t="inlineStr">
        <is>
          <t>Japan</t>
        </is>
      </c>
      <c r="F126" s="20" t="inlineStr">
        <is>
          <t>Japan MOD / ATLA</t>
        </is>
      </c>
      <c r="G126" s="20" t="inlineStr">
        <is>
          <t>Japan MOD / JGSDF</t>
        </is>
      </c>
      <c r="H126" s="20" t="inlineStr">
        <is>
          <t>Defence / not disclosed</t>
        </is>
      </c>
      <c r="I126" s="20" t="inlineStr">
        <is>
          <t>Nippon Aircraft Supply (NAS)</t>
        </is>
      </c>
      <c r="J126" s="20" t="inlineStr">
        <is>
          <t>NAS / Fibrotex programme team</t>
        </is>
      </c>
      <c r="K126" s="20" t="inlineStr">
        <is>
          <t>Japan</t>
        </is>
      </c>
      <c r="L126" s="20" t="inlineStr">
        <is>
          <t>MEDS — firepower/vehicle equipment</t>
        </is>
      </c>
      <c r="M126" s="20" t="inlineStr">
        <is>
          <t>Firepower / vehicle equipment</t>
        </is>
      </c>
      <c r="N126" s="20" t="inlineStr">
        <is>
          <t>Multiple Electromagnetic Disguise Net Set</t>
        </is>
      </c>
      <c r="O126" s="20" t="inlineStr">
        <is>
          <t>MEDS multispectral family</t>
        </is>
      </c>
      <c r="P126" s="20" t="inlineStr">
        <is>
          <t>Contract</t>
        </is>
      </c>
      <c r="Q126" s="20" t="inlineStr">
        <is>
          <t>Award</t>
        </is>
      </c>
      <c r="R126" s="20" t="inlineStr">
        <is>
          <t>Yes</t>
        </is>
      </c>
      <c r="S126" s="99" t="inlineStr">
        <is>
          <t>55</t>
        </is>
      </c>
      <c r="T126" s="20" t="inlineStr">
        <is>
          <t>sets</t>
        </is>
      </c>
      <c r="U126" s="20" t="inlineStr">
        <is>
          <t>Contracted sets</t>
        </is>
      </c>
      <c r="V126" s="100" t="inlineStr">
        <is>
          <t>Not disclosed</t>
        </is>
      </c>
      <c r="W126" s="20" t="n"/>
      <c r="X126" s="20" t="n"/>
      <c r="Y126" s="20" t="inlineStr">
        <is>
          <t>Obligated / signed if disclosed</t>
        </is>
      </c>
      <c r="Z126" s="20" t="inlineStr">
        <is>
          <t>Yes</t>
        </is>
      </c>
      <c r="AA126" s="20" t="inlineStr">
        <is>
          <t>Production Procurement</t>
        </is>
      </c>
      <c r="AB126" s="20" t="inlineStr">
        <is>
          <t>Land</t>
        </is>
      </c>
      <c r="AC126" s="20" t="inlineStr">
        <is>
          <t>Yes</t>
        </is>
      </c>
      <c r="AD126" s="20" t="n"/>
      <c r="AE126" s="20" t="inlineStr">
        <is>
          <t>https://www2.njss.info/offers/view/32278899</t>
        </is>
      </c>
      <c r="AF126" s="20" t="inlineStr">
        <is>
          <t>Japanese procurement result record</t>
        </is>
      </c>
      <c r="AG126" s="20" t="inlineStr">
        <is>
          <t>Secondary / aggregator</t>
        </is>
      </c>
      <c r="AH126" s="20" t="inlineStr">
        <is>
          <t>Medium</t>
        </is>
      </c>
      <c r="AI126" s="20" t="inlineStr">
        <is>
          <t>Strong land-platform relevance; supplier is NAS, with MEDS/Fibrotex linkage supported by 2025 NAS reporting.</t>
        </is>
      </c>
      <c r="AJ126" s="20" t="inlineStr">
        <is>
          <t>No</t>
        </is>
      </c>
      <c r="AK126" s="20" t="inlineStr">
        <is>
          <t>No</t>
        </is>
      </c>
      <c r="AL126" s="20" t="inlineStr">
        <is>
          <t>No</t>
        </is>
      </c>
      <c r="AM126" s="20" t="inlineStr">
        <is>
          <t>Yes</t>
        </is>
      </c>
      <c r="AN126" s="20" t="inlineStr">
        <is>
          <t>No</t>
        </is>
      </c>
      <c r="AO126" s="20" t="inlineStr">
        <is>
          <t>Yes</t>
        </is>
      </c>
      <c r="AP126" s="20" t="inlineStr">
        <is>
          <t>Included in Land core</t>
        </is>
      </c>
      <c r="AQ126" s="92" t="n">
        <v>0</v>
      </c>
      <c r="AR126" s="92" t="n">
        <v>0</v>
      </c>
      <c r="AS126" s="92" t="n">
        <v>0</v>
      </c>
      <c r="AT126" s="92" t="n">
        <v>0</v>
      </c>
      <c r="AU126" s="92" t="n">
        <v>0</v>
      </c>
      <c r="AV126" s="92" t="n">
        <v>0</v>
      </c>
      <c r="AW126" s="92" t="n">
        <v>1</v>
      </c>
    </row>
    <row r="127">
      <c r="A127" s="20" t="inlineStr">
        <is>
          <t>SM-0124</t>
        </is>
      </c>
      <c r="B127" s="20" t="inlineStr">
        <is>
          <t>JP-MEDS</t>
        </is>
      </c>
      <c r="C127" s="98" t="inlineStr">
        <is>
          <t>2026-01-23</t>
        </is>
      </c>
      <c r="D127" s="92" t="n">
        <v>2026</v>
      </c>
      <c r="E127" s="20" t="inlineStr">
        <is>
          <t>Japan</t>
        </is>
      </c>
      <c r="F127" s="20" t="inlineStr">
        <is>
          <t>Japan MOD / ATLA</t>
        </is>
      </c>
      <c r="G127" s="20" t="inlineStr">
        <is>
          <t>Japan MOD / JGSDF</t>
        </is>
      </c>
      <c r="H127" s="20" t="inlineStr">
        <is>
          <t>Defence / not disclosed</t>
        </is>
      </c>
      <c r="I127" s="20" t="inlineStr">
        <is>
          <t>Nippon Aircraft Supply (NAS)</t>
        </is>
      </c>
      <c r="J127" s="20" t="inlineStr">
        <is>
          <t>NAS / Fibrotex programme team</t>
        </is>
      </c>
      <c r="K127" s="20" t="inlineStr">
        <is>
          <t>Japan</t>
        </is>
      </c>
      <c r="L127" s="20" t="inlineStr">
        <is>
          <t>MEDS — firepower/vehicle equipment</t>
        </is>
      </c>
      <c r="M127" s="20" t="inlineStr">
        <is>
          <t>Firepower / vehicle equipment</t>
        </is>
      </c>
      <c r="N127" s="20" t="inlineStr">
        <is>
          <t>Multiple Electromagnetic Disguise Net Set</t>
        </is>
      </c>
      <c r="O127" s="20" t="inlineStr">
        <is>
          <t>MEDS multispectral family</t>
        </is>
      </c>
      <c r="P127" s="20" t="inlineStr">
        <is>
          <t>Contract</t>
        </is>
      </c>
      <c r="Q127" s="20" t="inlineStr">
        <is>
          <t>Award</t>
        </is>
      </c>
      <c r="R127" s="20" t="inlineStr">
        <is>
          <t>Yes</t>
        </is>
      </c>
      <c r="S127" s="99" t="inlineStr">
        <is>
          <t>18</t>
        </is>
      </c>
      <c r="T127" s="20" t="inlineStr">
        <is>
          <t>sets</t>
        </is>
      </c>
      <c r="U127" s="20" t="inlineStr">
        <is>
          <t>Contracted sets</t>
        </is>
      </c>
      <c r="V127" s="100" t="inlineStr">
        <is>
          <t>Not disclosed</t>
        </is>
      </c>
      <c r="W127" s="20" t="n"/>
      <c r="X127" s="20" t="n"/>
      <c r="Y127" s="20" t="inlineStr">
        <is>
          <t>Obligated / signed if disclosed</t>
        </is>
      </c>
      <c r="Z127" s="20" t="inlineStr">
        <is>
          <t>Yes</t>
        </is>
      </c>
      <c r="AA127" s="20" t="inlineStr">
        <is>
          <t>Production Procurement</t>
        </is>
      </c>
      <c r="AB127" s="20" t="inlineStr">
        <is>
          <t>Land</t>
        </is>
      </c>
      <c r="AC127" s="20" t="inlineStr">
        <is>
          <t>Yes</t>
        </is>
      </c>
      <c r="AD127" s="20" t="n"/>
      <c r="AE127" s="20" t="inlineStr">
        <is>
          <t>https://www2.njss.info/offers/view/32278894</t>
        </is>
      </c>
      <c r="AF127" s="20" t="inlineStr">
        <is>
          <t>Japanese procurement result record</t>
        </is>
      </c>
      <c r="AG127" s="20" t="inlineStr">
        <is>
          <t>Secondary / aggregator</t>
        </is>
      </c>
      <c r="AH127" s="20" t="inlineStr">
        <is>
          <t>Medium</t>
        </is>
      </c>
      <c r="AI127" s="20" t="inlineStr">
        <is>
          <t>Strong land-platform relevance; supplier is NAS, with MEDS/Fibrotex linkage supported by 2025 NAS reporting.</t>
        </is>
      </c>
      <c r="AJ127" s="20" t="inlineStr">
        <is>
          <t>No</t>
        </is>
      </c>
      <c r="AK127" s="20" t="inlineStr">
        <is>
          <t>No</t>
        </is>
      </c>
      <c r="AL127" s="20" t="inlineStr">
        <is>
          <t>No</t>
        </is>
      </c>
      <c r="AM127" s="20" t="inlineStr">
        <is>
          <t>Yes</t>
        </is>
      </c>
      <c r="AN127" s="20" t="inlineStr">
        <is>
          <t>No</t>
        </is>
      </c>
      <c r="AO127" s="20" t="inlineStr">
        <is>
          <t>Yes</t>
        </is>
      </c>
      <c r="AP127" s="20" t="inlineStr">
        <is>
          <t>Included in Land core</t>
        </is>
      </c>
      <c r="AQ127" s="92" t="n">
        <v>0</v>
      </c>
      <c r="AR127" s="92" t="n">
        <v>0</v>
      </c>
      <c r="AS127" s="92" t="n">
        <v>0</v>
      </c>
      <c r="AT127" s="92" t="n">
        <v>0</v>
      </c>
      <c r="AU127" s="92" t="n">
        <v>0</v>
      </c>
      <c r="AV127" s="92" t="n">
        <v>0</v>
      </c>
      <c r="AW127" s="92" t="n">
        <v>1</v>
      </c>
    </row>
    <row r="128">
      <c r="A128" s="20" t="inlineStr">
        <is>
          <t>SM-0125</t>
        </is>
      </c>
      <c r="B128" s="20" t="inlineStr">
        <is>
          <t>NORDIC-SAAB-MCS-2026</t>
        </is>
      </c>
      <c r="C128" s="98" t="inlineStr">
        <is>
          <t>2026-02-09</t>
        </is>
      </c>
      <c r="D128" s="92" t="n">
        <v>2026</v>
      </c>
      <c r="E128" s="20" t="inlineStr">
        <is>
          <t>Nordic joint</t>
        </is>
      </c>
      <c r="F128" s="20" t="inlineStr">
        <is>
          <t>Forsvarsmateriell / FFI / Danish FMI / Sweden</t>
        </is>
      </c>
      <c r="G128" s="20" t="inlineStr">
        <is>
          <t>Norwegian FMA</t>
        </is>
      </c>
      <c r="H128" s="20" t="inlineStr">
        <is>
          <t>Army / Land</t>
        </is>
      </c>
      <c r="I128" s="20" t="inlineStr">
        <is>
          <t>Saab Barracuda AB</t>
        </is>
      </c>
      <c r="J128" s="20" t="inlineStr">
        <is>
          <t>Saab Barracuda</t>
        </is>
      </c>
      <c r="K128" s="20" t="inlineStr">
        <is>
          <t>Sweden</t>
        </is>
      </c>
      <c r="L128" s="20" t="inlineStr">
        <is>
          <t>Nordic MCS cooperative testing</t>
        </is>
      </c>
      <c r="M128" s="20" t="inlineStr">
        <is>
          <t>Mobile land platforms</t>
        </is>
      </c>
      <c r="N128" s="20" t="inlineStr">
        <is>
          <t>Mobile Camouflage System</t>
        </is>
      </c>
      <c r="O128" s="20" t="inlineStr">
        <is>
          <t>Visual / thermal-IR / radar</t>
        </is>
      </c>
      <c r="P128" s="20" t="inlineStr">
        <is>
          <t>Trial / evaluation</t>
        </is>
      </c>
      <c r="Q128" s="20" t="inlineStr">
        <is>
          <t>Validation</t>
        </is>
      </c>
      <c r="R128" s="20" t="inlineStr">
        <is>
          <t>No</t>
        </is>
      </c>
      <c r="S128" s="99" t="n"/>
      <c r="T128" s="20" t="inlineStr">
        <is>
          <t>Unknown</t>
        </is>
      </c>
      <c r="U128" s="20" t="n"/>
      <c r="V128" s="100" t="inlineStr">
        <is>
          <t>Not disclosed</t>
        </is>
      </c>
      <c r="W128" s="20" t="n"/>
      <c r="X128" s="20" t="n"/>
      <c r="Y128" s="20" t="inlineStr">
        <is>
          <t>Obligated / signed if disclosed</t>
        </is>
      </c>
      <c r="Z128" s="20" t="inlineStr">
        <is>
          <t>No</t>
        </is>
      </c>
      <c r="AA128" s="20" t="inlineStr">
        <is>
          <t>Development / Validation</t>
        </is>
      </c>
      <c r="AB128" s="20" t="inlineStr">
        <is>
          <t>Land</t>
        </is>
      </c>
      <c r="AC128" s="20" t="inlineStr">
        <is>
          <t>Yes</t>
        </is>
      </c>
      <c r="AD128" s="20" t="n"/>
      <c r="AE128" s="20" t="inlineStr">
        <is>
          <t>https://www.fma.no/aktuelt-og-media/2026/styrket-nordisk-samarbeid-innen-militaer-kamuflasje</t>
        </is>
      </c>
      <c r="AF128" s="20" t="inlineStr">
        <is>
          <t>Official Norwegian defence materiel authority</t>
        </is>
      </c>
      <c r="AG128" s="20" t="inlineStr">
        <is>
          <t>Secondary / aggregator</t>
        </is>
      </c>
      <c r="AH128" s="20" t="inlineStr">
        <is>
          <t>High</t>
        </is>
      </c>
      <c r="AI128" s="20" t="inlineStr">
        <is>
          <t>One joint evaluation event, not three country events and not a procurement order.</t>
        </is>
      </c>
      <c r="AJ128" s="20" t="inlineStr">
        <is>
          <t>No</t>
        </is>
      </c>
      <c r="AK128" s="20" t="inlineStr">
        <is>
          <t>No</t>
        </is>
      </c>
      <c r="AL128" s="20" t="inlineStr">
        <is>
          <t>No</t>
        </is>
      </c>
      <c r="AM128" s="20" t="inlineStr">
        <is>
          <t>Yes</t>
        </is>
      </c>
      <c r="AN128" s="20" t="inlineStr">
        <is>
          <t>No</t>
        </is>
      </c>
      <c r="AO128" s="20" t="inlineStr">
        <is>
          <t>No</t>
        </is>
      </c>
      <c r="AP128" s="20" t="inlineStr">
        <is>
          <t>Included in Land core</t>
        </is>
      </c>
      <c r="AQ128" s="92" t="n">
        <v>1</v>
      </c>
      <c r="AR128" s="92" t="n">
        <v>0</v>
      </c>
      <c r="AS128" s="92" t="n">
        <v>0</v>
      </c>
      <c r="AT128" s="92" t="n">
        <v>1</v>
      </c>
      <c r="AU128" s="92" t="n">
        <v>1</v>
      </c>
      <c r="AV128" s="92" t="n">
        <v>1</v>
      </c>
      <c r="AW128" s="92" t="n">
        <v>0</v>
      </c>
    </row>
    <row r="129">
      <c r="A129" s="20" t="inlineStr">
        <is>
          <t>SM-0126</t>
        </is>
      </c>
      <c r="B129" s="20" t="inlineStr">
        <is>
          <t>FI-ATMIS-GTD26</t>
        </is>
      </c>
      <c r="C129" s="98" t="inlineStr">
        <is>
          <t>2026-02-12</t>
        </is>
      </c>
      <c r="D129" s="92" t="n">
        <v>2026</v>
      </c>
      <c r="E129" s="20" t="inlineStr">
        <is>
          <t>Finland</t>
        </is>
      </c>
      <c r="F129" s="20" t="inlineStr">
        <is>
          <t>Griffin Tech Days / defence end users</t>
        </is>
      </c>
      <c r="G129" s="20" t="inlineStr">
        <is>
          <t>Griffin Tech Days / defence end users</t>
        </is>
      </c>
      <c r="H129" s="20" t="inlineStr">
        <is>
          <t>Army / Land</t>
        </is>
      </c>
      <c r="I129" s="20" t="inlineStr">
        <is>
          <t>BCB International</t>
        </is>
      </c>
      <c r="J129" s="20" t="inlineStr">
        <is>
          <t>BCB International</t>
        </is>
      </c>
      <c r="K129" s="20" t="inlineStr">
        <is>
          <t>United Kingdom</t>
        </is>
      </c>
      <c r="L129" s="20" t="inlineStr">
        <is>
          <t>GTD26</t>
        </is>
      </c>
      <c r="M129" s="20" t="inlineStr">
        <is>
          <t>Static and semi-mobile land use</t>
        </is>
      </c>
      <c r="N129" s="20" t="inlineStr">
        <is>
          <t>ATMIS Multispectral Camouflage System</t>
        </is>
      </c>
      <c r="O129" s="20" t="inlineStr">
        <is>
          <t>VIS/NIR/SWIR/MWIR/LWIR</t>
        </is>
      </c>
      <c r="P129" s="20" t="inlineStr">
        <is>
          <t>Demonstration / evaluation</t>
        </is>
      </c>
      <c r="Q129" s="20" t="inlineStr">
        <is>
          <t>Validation</t>
        </is>
      </c>
      <c r="R129" s="20" t="inlineStr">
        <is>
          <t>No</t>
        </is>
      </c>
      <c r="S129" s="99" t="n"/>
      <c r="T129" s="20" t="inlineStr">
        <is>
          <t>Unknown</t>
        </is>
      </c>
      <c r="U129" s="20" t="inlineStr">
        <is>
          <t>Unknown</t>
        </is>
      </c>
      <c r="V129" s="100" t="n"/>
      <c r="W129" s="20" t="inlineStr">
        <is>
          <t>Unknown</t>
        </is>
      </c>
      <c r="X129" s="20" t="inlineStr">
        <is>
          <t>No procurement value</t>
        </is>
      </c>
      <c r="Y129" s="20" t="inlineStr">
        <is>
          <t>Obligated / signed if disclosed</t>
        </is>
      </c>
      <c r="Z129" s="20" t="inlineStr">
        <is>
          <t>No</t>
        </is>
      </c>
      <c r="AA129" s="20" t="inlineStr">
        <is>
          <t>Development / Validation</t>
        </is>
      </c>
      <c r="AB129" s="20" t="inlineStr">
        <is>
          <t>Land</t>
        </is>
      </c>
      <c r="AC129" s="20" t="inlineStr">
        <is>
          <t>Yes</t>
        </is>
      </c>
      <c r="AD129" s="20" t="n"/>
      <c r="AE129" s="20" t="inlineStr">
        <is>
          <t>https://bcbin.com/atmis-multispectral-camouflage/</t>
        </is>
      </c>
      <c r="AF129" s="20" t="inlineStr">
        <is>
          <t>Company report of defence demonstration</t>
        </is>
      </c>
      <c r="AG129" s="20" t="inlineStr">
        <is>
          <t>Supplier / prime announcement</t>
        </is>
      </c>
      <c r="AH129" s="20" t="inlineStr">
        <is>
          <t>Medium</t>
        </is>
      </c>
      <c r="AI129" s="20" t="inlineStr">
        <is>
          <t>Controlled operationally representative demonstration; no procurement award inferred.</t>
        </is>
      </c>
      <c r="AJ129" s="20" t="inlineStr">
        <is>
          <t>No</t>
        </is>
      </c>
      <c r="AK129" s="20" t="inlineStr">
        <is>
          <t>Yes</t>
        </is>
      </c>
      <c r="AL129" s="20" t="inlineStr">
        <is>
          <t>No</t>
        </is>
      </c>
      <c r="AM129" s="20" t="inlineStr">
        <is>
          <t>No</t>
        </is>
      </c>
      <c r="AN129" s="20" t="inlineStr">
        <is>
          <t>No</t>
        </is>
      </c>
      <c r="AO129" s="20" t="inlineStr">
        <is>
          <t>No</t>
        </is>
      </c>
      <c r="AP129" s="20" t="inlineStr">
        <is>
          <t>Included in Land core</t>
        </is>
      </c>
      <c r="AQ129" s="92" t="n">
        <v>1</v>
      </c>
      <c r="AR129" s="92" t="n">
        <v>0</v>
      </c>
      <c r="AS129" s="92" t="n">
        <v>1</v>
      </c>
      <c r="AT129" s="92" t="n">
        <v>1</v>
      </c>
      <c r="AU129" s="92" t="n">
        <v>1</v>
      </c>
      <c r="AV129" s="92" t="n">
        <v>1</v>
      </c>
      <c r="AW129" s="92" t="n">
        <v>0</v>
      </c>
    </row>
    <row r="130">
      <c r="A130" s="20" t="inlineStr">
        <is>
          <t>SM-0127</t>
        </is>
      </c>
      <c r="B130" s="20" t="inlineStr">
        <is>
          <t>AU-LAND8116-MCS</t>
        </is>
      </c>
      <c r="C130" s="98" t="inlineStr">
        <is>
          <t>2026-02-26</t>
        </is>
      </c>
      <c r="D130" s="92" t="n">
        <v>2026</v>
      </c>
      <c r="E130" s="20" t="inlineStr">
        <is>
          <t>Australia</t>
        </is>
      </c>
      <c r="F130" s="20" t="inlineStr">
        <is>
          <t>Hanwha Defence Australia / Australian Army</t>
        </is>
      </c>
      <c r="G130" s="20" t="inlineStr">
        <is>
          <t>Hanwha Defence Australia / Australian Army</t>
        </is>
      </c>
      <c r="H130" s="20" t="inlineStr">
        <is>
          <t>Army / Land</t>
        </is>
      </c>
      <c r="I130" s="20" t="inlineStr">
        <is>
          <t>CBG Systems</t>
        </is>
      </c>
      <c r="J130" s="20" t="inlineStr">
        <is>
          <t>CBG Systems</t>
        </is>
      </c>
      <c r="K130" s="20" t="inlineStr">
        <is>
          <t>Unknown</t>
        </is>
      </c>
      <c r="L130" s="20" t="inlineStr">
        <is>
          <t>LAND 8116</t>
        </is>
      </c>
      <c r="M130" s="20" t="inlineStr">
        <is>
          <t>AS9 SPH / AS10 AARV</t>
        </is>
      </c>
      <c r="N130" s="20" t="inlineStr">
        <is>
          <t>SolarSigmaShield MCS supply-chain role</t>
        </is>
      </c>
      <c r="O130" s="20" t="inlineStr">
        <is>
          <t>Multispectral</t>
        </is>
      </c>
      <c r="P130" s="20" t="inlineStr">
        <is>
          <t>Delivery / fielding</t>
        </is>
      </c>
      <c r="Q130" s="20" t="inlineStr">
        <is>
          <t>Production milestone</t>
        </is>
      </c>
      <c r="R130" s="20" t="inlineStr">
        <is>
          <t>No</t>
        </is>
      </c>
      <c r="S130" s="99" t="n"/>
      <c r="T130" s="20" t="inlineStr">
        <is>
          <t>Unknown</t>
        </is>
      </c>
      <c r="U130" s="20" t="inlineStr">
        <is>
          <t>Delivery milestone only</t>
        </is>
      </c>
      <c r="V130" s="100" t="n"/>
      <c r="W130" s="20" t="inlineStr">
        <is>
          <t>Unknown</t>
        </is>
      </c>
      <c r="X130" s="20" t="inlineStr">
        <is>
          <t>Not a new transaction</t>
        </is>
      </c>
      <c r="Y130" s="20" t="inlineStr">
        <is>
          <t>Obligated / signed if disclosed</t>
        </is>
      </c>
      <c r="Z130" s="20" t="inlineStr">
        <is>
          <t>No</t>
        </is>
      </c>
      <c r="AA130" s="20" t="inlineStr">
        <is>
          <t>Delivery / Programme Milestone</t>
        </is>
      </c>
      <c r="AB130" s="20" t="inlineStr">
        <is>
          <t>Land</t>
        </is>
      </c>
      <c r="AC130" s="20" t="inlineStr">
        <is>
          <t>Yes</t>
        </is>
      </c>
      <c r="AD130" s="20" t="n"/>
      <c r="AE130" s="20" t="inlineStr">
        <is>
          <t>https://hanwha-defence.com.au/news/first-australian-made-as9s-debut-in-geelong</t>
        </is>
      </c>
      <c r="AF130" s="20" t="inlineStr">
        <is>
          <t>Prime-contractor announcement</t>
        </is>
      </c>
      <c r="AG130" s="20" t="inlineStr">
        <is>
          <t>Supplier / prime announcement</t>
        </is>
      </c>
      <c r="AH130" s="20" t="inlineStr">
        <is>
          <t>Medium</t>
        </is>
      </c>
      <c r="AI130" s="20" t="inlineStr">
        <is>
          <t>Counts company activity but not an order; Hanwha names CBG in the LAND 8116 production supply chain without restating MCS installation per vehicle.</t>
        </is>
      </c>
      <c r="AJ130" s="20" t="inlineStr">
        <is>
          <t>No</t>
        </is>
      </c>
      <c r="AK130" s="20" t="inlineStr">
        <is>
          <t>Yes</t>
        </is>
      </c>
      <c r="AL130" s="20" t="inlineStr">
        <is>
          <t>No</t>
        </is>
      </c>
      <c r="AM130" s="20" t="inlineStr">
        <is>
          <t>No</t>
        </is>
      </c>
      <c r="AN130" s="20" t="inlineStr">
        <is>
          <t>No</t>
        </is>
      </c>
      <c r="AO130" s="20" t="inlineStr">
        <is>
          <t>Yes</t>
        </is>
      </c>
      <c r="AP130" s="20" t="inlineStr">
        <is>
          <t>Included in Land core</t>
        </is>
      </c>
      <c r="AQ130" s="92" t="n">
        <v>1</v>
      </c>
      <c r="AR130" s="92" t="n">
        <v>0</v>
      </c>
      <c r="AS130" s="92" t="n">
        <v>1</v>
      </c>
      <c r="AT130" s="92" t="n">
        <v>1</v>
      </c>
      <c r="AU130" s="92" t="n">
        <v>1</v>
      </c>
      <c r="AV130" s="92" t="n">
        <v>0</v>
      </c>
      <c r="AW130" s="92" t="n">
        <v>0</v>
      </c>
    </row>
    <row r="131">
      <c r="A131" s="20" t="inlineStr">
        <is>
          <t>SM-0128</t>
        </is>
      </c>
      <c r="B131" s="20" t="inlineStr">
        <is>
          <t>ULCANS-IDV-W911QY18D0210</t>
        </is>
      </c>
      <c r="C131" s="98" t="inlineStr">
        <is>
          <t>2026-02-26</t>
        </is>
      </c>
      <c r="D131" s="92" t="n">
        <v>2026</v>
      </c>
      <c r="E131" s="20" t="inlineStr">
        <is>
          <t>United States</t>
        </is>
      </c>
      <c r="F131" s="20" t="inlineStr">
        <is>
          <t>U.S. Army PEO CSCSS</t>
        </is>
      </c>
      <c r="G131" s="20" t="inlineStr">
        <is>
          <t>U.S. Army</t>
        </is>
      </c>
      <c r="H131" s="20" t="inlineStr">
        <is>
          <t>Army / Land</t>
        </is>
      </c>
      <c r="I131" s="20" t="inlineStr">
        <is>
          <t>Fibrotex USA Inc. / Fibrotex Technologies</t>
        </is>
      </c>
      <c r="J131" s="20" t="inlineStr">
        <is>
          <t>Fibrotex</t>
        </is>
      </c>
      <c r="K131" s="20" t="inlineStr">
        <is>
          <t>Israel / USA</t>
        </is>
      </c>
      <c r="L131" s="20" t="inlineStr">
        <is>
          <t>Platform-specific MCS</t>
        </is>
      </c>
      <c r="M131" s="20" t="inlineStr">
        <is>
          <t>Vehicle Camouflage System</t>
        </is>
      </c>
      <c r="N131" s="20" t="inlineStr">
        <is>
          <t>Final development and low-rate initial production of platform-specific Mobile Camouflage Systems</t>
        </is>
      </c>
      <c r="O131" s="20" t="inlineStr">
        <is>
          <t>Multispectral</t>
        </is>
      </c>
      <c r="P131" s="20" t="inlineStr">
        <is>
          <t>Funded Development</t>
        </is>
      </c>
      <c r="Q131" s="20" t="n"/>
      <c r="R131" s="20" t="inlineStr">
        <is>
          <t>No</t>
        </is>
      </c>
      <c r="S131" s="99" t="n"/>
      <c r="T131" s="20" t="inlineStr">
        <is>
          <t>Unknown</t>
        </is>
      </c>
      <c r="U131" s="20" t="n"/>
      <c r="V131" s="100" t="inlineStr">
        <is>
          <t>2100000.0</t>
        </is>
      </c>
      <c r="W131" s="20" t="inlineStr">
        <is>
          <t>USD</t>
        </is>
      </c>
      <c r="X131" s="20" t="n"/>
      <c r="Y131" s="20" t="inlineStr">
        <is>
          <t>Obligated / signed if disclosed</t>
        </is>
      </c>
      <c r="Z131" s="20" t="inlineStr">
        <is>
          <t>No</t>
        </is>
      </c>
      <c r="AA131" s="20" t="inlineStr">
        <is>
          <t>Development / Validation</t>
        </is>
      </c>
      <c r="AB131" s="20" t="inlineStr">
        <is>
          <t>Land</t>
        </is>
      </c>
      <c r="AC131" s="20" t="inlineStr">
        <is>
          <t>Yes</t>
        </is>
      </c>
      <c r="AD131" s="20" t="n"/>
      <c r="AE131" s="20" t="inlineStr">
        <is>
          <t>https://www.highergov.com/awardee/fibrotex-usa-inc-12685034/</t>
        </is>
      </c>
      <c r="AF131" s="20" t="inlineStr">
        <is>
          <t>Other credible third-party source (FPDS/SAM-derived)</t>
        </is>
      </c>
      <c r="AG131" s="20" t="inlineStr">
        <is>
          <t>Secondary / aggregator</t>
        </is>
      </c>
      <c r="AH131" s="20" t="inlineStr">
        <is>
          <t>High</t>
        </is>
      </c>
      <c r="AI131" s="20" t="inlineStr">
        <is>
          <t>Distinct delivery/order event. Parent ULCANS IDIQ ceiling is not counted as sales; amendments are not separate events.</t>
        </is>
      </c>
      <c r="AJ131" s="20" t="inlineStr">
        <is>
          <t>Yes</t>
        </is>
      </c>
      <c r="AK131" s="20" t="inlineStr">
        <is>
          <t>No</t>
        </is>
      </c>
      <c r="AL131" s="20" t="inlineStr">
        <is>
          <t>No</t>
        </is>
      </c>
      <c r="AM131" s="20" t="inlineStr">
        <is>
          <t>No</t>
        </is>
      </c>
      <c r="AN131" s="20" t="inlineStr">
        <is>
          <t>No</t>
        </is>
      </c>
      <c r="AO131" s="20" t="inlineStr">
        <is>
          <t>Yes</t>
        </is>
      </c>
      <c r="AP131" s="20" t="inlineStr">
        <is>
          <t>Included in Land core</t>
        </is>
      </c>
      <c r="AQ131" s="92" t="n">
        <v>1</v>
      </c>
      <c r="AR131" s="92" t="n">
        <v>0</v>
      </c>
      <c r="AS131" s="92" t="n">
        <v>1</v>
      </c>
      <c r="AT131" s="92" t="n">
        <v>1</v>
      </c>
      <c r="AU131" s="92" t="n">
        <v>1</v>
      </c>
      <c r="AV131" s="92" t="n">
        <v>0</v>
      </c>
      <c r="AW131" s="92" t="n">
        <v>0</v>
      </c>
    </row>
    <row r="132">
      <c r="A132" s="20" t="inlineStr">
        <is>
          <t>SM-0129</t>
        </is>
      </c>
      <c r="B132" s="20" t="inlineStr">
        <is>
          <t>UK-ATMIS-TRIAL-2026</t>
        </is>
      </c>
      <c r="C132" s="98" t="inlineStr">
        <is>
          <t>2026-03-10</t>
        </is>
      </c>
      <c r="D132" s="92" t="n">
        <v>2026</v>
      </c>
      <c r="E132" s="20" t="inlineStr">
        <is>
          <t>United Kingdom</t>
        </is>
      </c>
      <c r="F132" s="20" t="inlineStr">
        <is>
          <t>British Army Armoured Cavalry and Engineer units</t>
        </is>
      </c>
      <c r="G132" s="20" t="inlineStr">
        <is>
          <t>British Army Armoured Cavalry and Engineer units</t>
        </is>
      </c>
      <c r="H132" s="20" t="inlineStr">
        <is>
          <t>Army / Land</t>
        </is>
      </c>
      <c r="I132" s="20" t="inlineStr">
        <is>
          <t>BCB International Ltd (Wescom Group)</t>
        </is>
      </c>
      <c r="J132" s="20" t="inlineStr">
        <is>
          <t>BCB International</t>
        </is>
      </c>
      <c r="K132" s="20" t="inlineStr">
        <is>
          <t>United Kingdom</t>
        </is>
      </c>
      <c r="L132" s="20" t="inlineStr">
        <is>
          <t>Operational field trials</t>
        </is>
      </c>
      <c r="M132" s="20" t="inlineStr">
        <is>
          <t>Nets / Covers</t>
        </is>
      </c>
      <c r="N132" s="20" t="inlineStr">
        <is>
          <t>ATMIS Flex Static Multispectral Camouflage System</t>
        </is>
      </c>
      <c r="O132" s="20" t="inlineStr">
        <is>
          <t>Multispectral</t>
        </is>
      </c>
      <c r="P132" s="20" t="inlineStr">
        <is>
          <t>Trial / Evaluation</t>
        </is>
      </c>
      <c r="Q132" s="20" t="n"/>
      <c r="R132" s="20" t="inlineStr">
        <is>
          <t>No</t>
        </is>
      </c>
      <c r="S132" s="99" t="n"/>
      <c r="T132" s="20" t="inlineStr">
        <is>
          <t>Unknown</t>
        </is>
      </c>
      <c r="U132" s="20" t="n"/>
      <c r="V132" s="100" t="n"/>
      <c r="W132" s="20" t="n"/>
      <c r="X132" s="20" t="n"/>
      <c r="Y132" s="20" t="inlineStr">
        <is>
          <t>Obligated / signed if disclosed</t>
        </is>
      </c>
      <c r="Z132" s="20" t="inlineStr">
        <is>
          <t>No</t>
        </is>
      </c>
      <c r="AA132" s="20" t="inlineStr">
        <is>
          <t>Development / Validation</t>
        </is>
      </c>
      <c r="AB132" s="20" t="inlineStr">
        <is>
          <t>Land</t>
        </is>
      </c>
      <c r="AC132" s="20" t="inlineStr">
        <is>
          <t>Yes</t>
        </is>
      </c>
      <c r="AD132" s="20" t="n"/>
      <c r="AE132" s="20" t="inlineStr">
        <is>
          <t>https://bcbin.com/proven-in-the-field-atmis-flex-static-multispectral-camouflage/</t>
        </is>
      </c>
      <c r="AF132" s="20" t="inlineStr">
        <is>
          <t>Official company announcement</t>
        </is>
      </c>
      <c r="AG132" s="20" t="inlineStr">
        <is>
          <t>Supplier / prime announcement</t>
        </is>
      </c>
      <c r="AH132" s="20" t="inlineStr">
        <is>
          <t>High</t>
        </is>
      </c>
      <c r="AI132" s="20" t="inlineStr">
        <is>
          <t>Customer-linked trial/evaluation; no disclosed order or value identified.</t>
        </is>
      </c>
      <c r="AJ132" s="20" t="inlineStr">
        <is>
          <t>Yes</t>
        </is>
      </c>
      <c r="AK132" s="20" t="inlineStr">
        <is>
          <t>Yes</t>
        </is>
      </c>
      <c r="AL132" s="20" t="inlineStr">
        <is>
          <t>No</t>
        </is>
      </c>
      <c r="AM132" s="20" t="inlineStr">
        <is>
          <t>No</t>
        </is>
      </c>
      <c r="AN132" s="20" t="inlineStr">
        <is>
          <t>No</t>
        </is>
      </c>
      <c r="AO132" s="20" t="inlineStr">
        <is>
          <t>No</t>
        </is>
      </c>
      <c r="AP132" s="20" t="inlineStr">
        <is>
          <t>Included in Land core</t>
        </is>
      </c>
      <c r="AQ132" s="92" t="n">
        <v>1</v>
      </c>
      <c r="AR132" s="92" t="n">
        <v>0</v>
      </c>
      <c r="AS132" s="92" t="n">
        <v>0</v>
      </c>
      <c r="AT132" s="92" t="n">
        <v>1</v>
      </c>
      <c r="AU132" s="92" t="n">
        <v>1</v>
      </c>
      <c r="AV132" s="92" t="n">
        <v>1</v>
      </c>
      <c r="AW132" s="92" t="n">
        <v>0</v>
      </c>
    </row>
    <row r="133">
      <c r="A133" s="20" t="inlineStr">
        <is>
          <t>SM-0130</t>
        </is>
      </c>
      <c r="B133" s="20" t="inlineStr">
        <is>
          <t>ULCANS-IDV-W911QY18D0210</t>
        </is>
      </c>
      <c r="C133" s="98" t="inlineStr">
        <is>
          <t>2026-03-18</t>
        </is>
      </c>
      <c r="D133" s="92" t="n">
        <v>2026</v>
      </c>
      <c r="E133" s="20" t="inlineStr">
        <is>
          <t>United States</t>
        </is>
      </c>
      <c r="F133" s="20" t="inlineStr">
        <is>
          <t>U.S. Army PEO CSCSS</t>
        </is>
      </c>
      <c r="G133" s="20" t="inlineStr">
        <is>
          <t>U.S. Army</t>
        </is>
      </c>
      <c r="H133" s="20" t="inlineStr">
        <is>
          <t>Army / Land</t>
        </is>
      </c>
      <c r="I133" s="20" t="inlineStr">
        <is>
          <t>Fibrotex USA Inc. / Fibrotex Technologies</t>
        </is>
      </c>
      <c r="J133" s="20" t="inlineStr">
        <is>
          <t>Fibrotex</t>
        </is>
      </c>
      <c r="K133" s="20" t="inlineStr">
        <is>
          <t>Israel / USA</t>
        </is>
      </c>
      <c r="L133" s="20" t="inlineStr">
        <is>
          <t>Camouflage Systems</t>
        </is>
      </c>
      <c r="M133" s="20" t="inlineStr">
        <is>
          <t>Nets / Covers</t>
        </is>
      </c>
      <c r="N133" s="20" t="inlineStr">
        <is>
          <t>Camouflage systems</t>
        </is>
      </c>
      <c r="O133" s="20" t="inlineStr">
        <is>
          <t>Multispectral</t>
        </is>
      </c>
      <c r="P133" s="20" t="inlineStr">
        <is>
          <t>Order</t>
        </is>
      </c>
      <c r="Q133" s="20" t="n"/>
      <c r="R133" s="20" t="inlineStr">
        <is>
          <t>Yes</t>
        </is>
      </c>
      <c r="S133" s="99" t="n"/>
      <c r="T133" s="20" t="inlineStr">
        <is>
          <t>Unknown</t>
        </is>
      </c>
      <c r="U133" s="20" t="n"/>
      <c r="V133" s="100" t="inlineStr">
        <is>
          <t>231960.0</t>
        </is>
      </c>
      <c r="W133" s="20" t="inlineStr">
        <is>
          <t>USD</t>
        </is>
      </c>
      <c r="X133" s="20" t="n"/>
      <c r="Y133" s="20" t="inlineStr">
        <is>
          <t>Obligated / signed if disclosed</t>
        </is>
      </c>
      <c r="Z133" s="20" t="inlineStr">
        <is>
          <t>Yes</t>
        </is>
      </c>
      <c r="AA133" s="20" t="inlineStr">
        <is>
          <t>Production Procurement</t>
        </is>
      </c>
      <c r="AB133" s="20" t="inlineStr">
        <is>
          <t>Land</t>
        </is>
      </c>
      <c r="AC133" s="20" t="inlineStr">
        <is>
          <t>Yes</t>
        </is>
      </c>
      <c r="AD133" s="20" t="n"/>
      <c r="AE133" s="20" t="inlineStr">
        <is>
          <t>https://www.highergov.com/contract/W911QY18D0210-W911QY26FA069/</t>
        </is>
      </c>
      <c r="AF133" s="20" t="inlineStr">
        <is>
          <t>Other credible third-party source (FPDS/SAM-derived)</t>
        </is>
      </c>
      <c r="AG133" s="20" t="inlineStr">
        <is>
          <t>Secondary / aggregator</t>
        </is>
      </c>
      <c r="AH133" s="20" t="inlineStr">
        <is>
          <t>High</t>
        </is>
      </c>
      <c r="AI133" s="20" t="inlineStr">
        <is>
          <t>Distinct delivery/order event. Parent ULCANS IDIQ ceiling is not counted as sales; amendments are not separate events.</t>
        </is>
      </c>
      <c r="AJ133" s="20" t="inlineStr">
        <is>
          <t>Yes</t>
        </is>
      </c>
      <c r="AK133" s="20" t="inlineStr">
        <is>
          <t>Yes</t>
        </is>
      </c>
      <c r="AL133" s="20" t="inlineStr">
        <is>
          <t>No</t>
        </is>
      </c>
      <c r="AM133" s="20" t="inlineStr">
        <is>
          <t>No</t>
        </is>
      </c>
      <c r="AN133" s="20" t="inlineStr">
        <is>
          <t>No</t>
        </is>
      </c>
      <c r="AO133" s="20" t="inlineStr">
        <is>
          <t>Yes</t>
        </is>
      </c>
      <c r="AP133" s="20" t="inlineStr">
        <is>
          <t>Included in Land core</t>
        </is>
      </c>
      <c r="AQ133" s="92" t="n">
        <v>0</v>
      </c>
      <c r="AR133" s="92" t="n">
        <v>1</v>
      </c>
      <c r="AS133" s="92" t="n">
        <v>0</v>
      </c>
      <c r="AT133" s="92" t="n">
        <v>0</v>
      </c>
      <c r="AU133" s="92" t="n">
        <v>0</v>
      </c>
      <c r="AV133" s="92" t="n">
        <v>0</v>
      </c>
      <c r="AW133" s="92" t="n">
        <v>1</v>
      </c>
    </row>
    <row r="134">
      <c r="A134" s="20" t="inlineStr">
        <is>
          <t>SM-0131</t>
        </is>
      </c>
      <c r="B134" s="20" t="inlineStr">
        <is>
          <t>US-AMET-FLINT-MESH-2026</t>
        </is>
      </c>
      <c r="C134" s="98" t="inlineStr">
        <is>
          <t>2026-04-16</t>
        </is>
      </c>
      <c r="D134" s="92" t="n">
        <v>2026</v>
      </c>
      <c r="E134" s="20" t="inlineStr">
        <is>
          <t>United States</t>
        </is>
      </c>
      <c r="F134" s="20" t="inlineStr">
        <is>
          <t>U.S. Army / ACC Warren</t>
        </is>
      </c>
      <c r="G134" s="20" t="inlineStr">
        <is>
          <t>U.S. Army</t>
        </is>
      </c>
      <c r="H134" s="20" t="inlineStr">
        <is>
          <t>Army / Land</t>
        </is>
      </c>
      <c r="I134" s="20" t="inlineStr">
        <is>
          <t>Ametrine Technologies</t>
        </is>
      </c>
      <c r="J134" s="20" t="inlineStr">
        <is>
          <t>Ametrine Technologies</t>
        </is>
      </c>
      <c r="K134" s="20" t="inlineStr">
        <is>
          <t>USA</t>
        </is>
      </c>
      <c r="L134" s="20" t="inlineStr">
        <is>
          <t>W912CH26P0033</t>
        </is>
      </c>
      <c r="M134" s="20" t="inlineStr">
        <is>
          <t>Military vehicle</t>
        </is>
      </c>
      <c r="N134" s="20" t="inlineStr">
        <is>
          <t>Flint spray paint</t>
        </is>
      </c>
      <c r="O134" s="20" t="inlineStr">
        <is>
          <t>Multispectral</t>
        </is>
      </c>
      <c r="P134" s="20" t="inlineStr">
        <is>
          <t>Purchase order</t>
        </is>
      </c>
      <c r="Q134" s="20" t="inlineStr">
        <is>
          <t>Award</t>
        </is>
      </c>
      <c r="R134" s="20" t="inlineStr">
        <is>
          <t>Yes</t>
        </is>
      </c>
      <c r="S134" s="99" t="n"/>
      <c r="T134" s="20" t="inlineStr">
        <is>
          <t>Unknown</t>
        </is>
      </c>
      <c r="U134" s="20" t="inlineStr">
        <is>
          <t>Unknown</t>
        </is>
      </c>
      <c r="V134" s="100" t="inlineStr">
        <is>
          <t>10176.72</t>
        </is>
      </c>
      <c r="W134" s="20" t="inlineStr">
        <is>
          <t>USD</t>
        </is>
      </c>
      <c r="X134" s="20" t="inlineStr">
        <is>
          <t>Potential/current award value</t>
        </is>
      </c>
      <c r="Y134" s="20" t="inlineStr">
        <is>
          <t>Obligated / signed if disclosed</t>
        </is>
      </c>
      <c r="Z134" s="20" t="inlineStr">
        <is>
          <t>No</t>
        </is>
      </c>
      <c r="AA134" s="20" t="inlineStr">
        <is>
          <t>Production Procurement</t>
        </is>
      </c>
      <c r="AB134" s="20" t="inlineStr">
        <is>
          <t>Land</t>
        </is>
      </c>
      <c r="AC134" s="20" t="inlineStr">
        <is>
          <t>Yes</t>
        </is>
      </c>
      <c r="AD134" s="20" t="n"/>
      <c r="AE134" s="20" t="inlineStr">
        <is>
          <t>https://govtribe.com/award/federal-contract-award/purchase-order-w912ch26p0033</t>
        </is>
      </c>
      <c r="AF134" s="20" t="inlineStr">
        <is>
          <t>Federal contract database mirror</t>
        </is>
      </c>
      <c r="AG134" s="20" t="inlineStr">
        <is>
          <t>Supplier / prime announcement</t>
        </is>
      </c>
      <c r="AH134" s="20" t="inlineStr">
        <is>
          <t>Medium</t>
        </is>
      </c>
      <c r="AI134" s="20" t="inlineStr">
        <is>
          <t>Flint is Ametrine's mobile signature-reduction coating; public award description does not state vehicle quantity.</t>
        </is>
      </c>
      <c r="AJ134" s="20" t="inlineStr">
        <is>
          <t>No</t>
        </is>
      </c>
      <c r="AK134" s="20" t="inlineStr">
        <is>
          <t>Yes</t>
        </is>
      </c>
      <c r="AL134" s="20" t="inlineStr">
        <is>
          <t>No</t>
        </is>
      </c>
      <c r="AM134" s="20" t="inlineStr">
        <is>
          <t>No</t>
        </is>
      </c>
      <c r="AN134" s="20" t="inlineStr">
        <is>
          <t>No</t>
        </is>
      </c>
      <c r="AO134" s="20" t="inlineStr">
        <is>
          <t>No</t>
        </is>
      </c>
      <c r="AP134" s="20" t="inlineStr">
        <is>
          <t>Included in Land core</t>
        </is>
      </c>
      <c r="AQ134" s="92" t="n">
        <v>1</v>
      </c>
      <c r="AR134" s="92" t="n">
        <v>1</v>
      </c>
      <c r="AS134" s="92" t="n">
        <v>1</v>
      </c>
      <c r="AT134" s="92" t="n">
        <v>0</v>
      </c>
      <c r="AU134" s="92" t="n">
        <v>0</v>
      </c>
      <c r="AV134" s="92" t="n">
        <v>1</v>
      </c>
      <c r="AW134" s="92" t="n">
        <v>0</v>
      </c>
    </row>
    <row r="135">
      <c r="A135" s="20" t="inlineStr">
        <is>
          <t>SM-0132</t>
        </is>
      </c>
      <c r="B135" s="20" t="inlineStr">
        <is>
          <t>US-AMET-VEH-MESH-2026</t>
        </is>
      </c>
      <c r="C135" s="98" t="inlineStr">
        <is>
          <t>2026-04-16</t>
        </is>
      </c>
      <c r="D135" s="92" t="n">
        <v>2026</v>
      </c>
      <c r="E135" s="20" t="inlineStr">
        <is>
          <t>United States</t>
        </is>
      </c>
      <c r="F135" s="20" t="inlineStr">
        <is>
          <t>U.S. Army / ACC Warren</t>
        </is>
      </c>
      <c r="G135" s="20" t="inlineStr">
        <is>
          <t>U.S. Army</t>
        </is>
      </c>
      <c r="H135" s="20" t="inlineStr">
        <is>
          <t>Army / Land</t>
        </is>
      </c>
      <c r="I135" s="20" t="inlineStr">
        <is>
          <t>Ametrine Technologies</t>
        </is>
      </c>
      <c r="J135" s="20" t="inlineStr">
        <is>
          <t>Ametrine Technologies</t>
        </is>
      </c>
      <c r="K135" s="20" t="inlineStr">
        <is>
          <t>USA</t>
        </is>
      </c>
      <c r="L135" s="20" t="inlineStr">
        <is>
          <t>W912CH26P0031</t>
        </is>
      </c>
      <c r="M135" s="20" t="inlineStr">
        <is>
          <t>Military vehicle</t>
        </is>
      </c>
      <c r="N135" s="20" t="inlineStr">
        <is>
          <t>Vehicle mesh products</t>
        </is>
      </c>
      <c r="O135" s="20" t="inlineStr">
        <is>
          <t>Multispectral</t>
        </is>
      </c>
      <c r="P135" s="20" t="inlineStr">
        <is>
          <t>Purchase order</t>
        </is>
      </c>
      <c r="Q135" s="20" t="inlineStr">
        <is>
          <t>Award</t>
        </is>
      </c>
      <c r="R135" s="20" t="inlineStr">
        <is>
          <t>Yes</t>
        </is>
      </c>
      <c r="S135" s="99" t="n"/>
      <c r="T135" s="20" t="inlineStr">
        <is>
          <t>Unknown</t>
        </is>
      </c>
      <c r="U135" s="20" t="inlineStr">
        <is>
          <t>Unknown</t>
        </is>
      </c>
      <c r="V135" s="100" t="inlineStr">
        <is>
          <t>10752</t>
        </is>
      </c>
      <c r="W135" s="20" t="inlineStr">
        <is>
          <t>USD</t>
        </is>
      </c>
      <c r="X135" s="20" t="inlineStr">
        <is>
          <t>Potential/current award value</t>
        </is>
      </c>
      <c r="Y135" s="20" t="inlineStr">
        <is>
          <t>Obligated / signed if disclosed</t>
        </is>
      </c>
      <c r="Z135" s="20" t="inlineStr">
        <is>
          <t>No</t>
        </is>
      </c>
      <c r="AA135" s="20" t="inlineStr">
        <is>
          <t>Production Procurement</t>
        </is>
      </c>
      <c r="AB135" s="20" t="inlineStr">
        <is>
          <t>Land</t>
        </is>
      </c>
      <c r="AC135" s="20" t="inlineStr">
        <is>
          <t>Yes</t>
        </is>
      </c>
      <c r="AD135" s="20" t="n"/>
      <c r="AE135" s="20" t="inlineStr">
        <is>
          <t>https://govtribe.com/award/federal-contract-award/purchase-order-w912ch26p0031</t>
        </is>
      </c>
      <c r="AF135" s="20" t="inlineStr">
        <is>
          <t>Federal contract database mirror</t>
        </is>
      </c>
      <c r="AG135" s="20" t="inlineStr">
        <is>
          <t>Supplier / prime announcement</t>
        </is>
      </c>
      <c r="AH135" s="20" t="inlineStr">
        <is>
          <t>Medium</t>
        </is>
      </c>
      <c r="AI135" s="20" t="inlineStr">
        <is>
          <t>Distinct purchase order; public quantity not disclosed.</t>
        </is>
      </c>
      <c r="AJ135" s="20" t="inlineStr">
        <is>
          <t>No</t>
        </is>
      </c>
      <c r="AK135" s="20" t="inlineStr">
        <is>
          <t>Yes</t>
        </is>
      </c>
      <c r="AL135" s="20" t="inlineStr">
        <is>
          <t>No</t>
        </is>
      </c>
      <c r="AM135" s="20" t="inlineStr">
        <is>
          <t>No</t>
        </is>
      </c>
      <c r="AN135" s="20" t="inlineStr">
        <is>
          <t>No</t>
        </is>
      </c>
      <c r="AO135" s="20" t="inlineStr">
        <is>
          <t>No</t>
        </is>
      </c>
      <c r="AP135" s="20" t="inlineStr">
        <is>
          <t>Included in Land core</t>
        </is>
      </c>
      <c r="AQ135" s="92" t="n">
        <v>1</v>
      </c>
      <c r="AR135" s="92" t="n">
        <v>1</v>
      </c>
      <c r="AS135" s="92" t="n">
        <v>0</v>
      </c>
      <c r="AT135" s="92" t="n">
        <v>0</v>
      </c>
      <c r="AU135" s="92" t="n">
        <v>0</v>
      </c>
      <c r="AV135" s="92" t="n">
        <v>1</v>
      </c>
      <c r="AW135" s="92" t="n">
        <v>0</v>
      </c>
    </row>
    <row r="136">
      <c r="A136" s="20" t="inlineStr">
        <is>
          <t>SM-0133</t>
        </is>
      </c>
      <c r="B136" s="20" t="inlineStr">
        <is>
          <t>ULCANS-IDV-W911QY18D0210</t>
        </is>
      </c>
      <c r="C136" s="98" t="inlineStr">
        <is>
          <t>2026-04-21</t>
        </is>
      </c>
      <c r="D136" s="92" t="n">
        <v>2026</v>
      </c>
      <c r="E136" s="20" t="inlineStr">
        <is>
          <t>United States</t>
        </is>
      </c>
      <c r="F136" s="20" t="inlineStr">
        <is>
          <t>U.S. Army PEO CSCSS</t>
        </is>
      </c>
      <c r="G136" s="20" t="inlineStr">
        <is>
          <t>U.S. Army</t>
        </is>
      </c>
      <c r="H136" s="20" t="inlineStr">
        <is>
          <t>Army / Land</t>
        </is>
      </c>
      <c r="I136" s="20" t="inlineStr">
        <is>
          <t>Fibrotex USA Inc. / Fibrotex Technologies</t>
        </is>
      </c>
      <c r="J136" s="20" t="inlineStr">
        <is>
          <t>Fibrotex</t>
        </is>
      </c>
      <c r="K136" s="20" t="inlineStr">
        <is>
          <t>Israel / USA</t>
        </is>
      </c>
      <c r="L136" s="20" t="inlineStr">
        <is>
          <t>Camouflage Systems</t>
        </is>
      </c>
      <c r="M136" s="20" t="inlineStr">
        <is>
          <t>Nets / Covers</t>
        </is>
      </c>
      <c r="N136" s="20" t="inlineStr">
        <is>
          <t>Camouflage systems</t>
        </is>
      </c>
      <c r="O136" s="20" t="inlineStr">
        <is>
          <t>Multispectral</t>
        </is>
      </c>
      <c r="P136" s="20" t="inlineStr">
        <is>
          <t>Order</t>
        </is>
      </c>
      <c r="Q136" s="20" t="n"/>
      <c r="R136" s="20" t="inlineStr">
        <is>
          <t>Yes</t>
        </is>
      </c>
      <c r="S136" s="99" t="n"/>
      <c r="T136" s="20" t="inlineStr">
        <is>
          <t>Unknown</t>
        </is>
      </c>
      <c r="U136" s="20" t="n"/>
      <c r="V136" s="100" t="inlineStr">
        <is>
          <t>65325.0</t>
        </is>
      </c>
      <c r="W136" s="20" t="inlineStr">
        <is>
          <t>USD</t>
        </is>
      </c>
      <c r="X136" s="20" t="n"/>
      <c r="Y136" s="20" t="inlineStr">
        <is>
          <t>Obligated / signed if disclosed</t>
        </is>
      </c>
      <c r="Z136" s="20" t="inlineStr">
        <is>
          <t>Yes</t>
        </is>
      </c>
      <c r="AA136" s="20" t="inlineStr">
        <is>
          <t>Production Procurement</t>
        </is>
      </c>
      <c r="AB136" s="20" t="inlineStr">
        <is>
          <t>Land</t>
        </is>
      </c>
      <c r="AC136" s="20" t="inlineStr">
        <is>
          <t>Yes</t>
        </is>
      </c>
      <c r="AD136" s="20" t="n"/>
      <c r="AE136" s="20" t="inlineStr">
        <is>
          <t>https://www.highergov.com/contract/W911QY18D0210-W911QY26FA099/</t>
        </is>
      </c>
      <c r="AF136" s="20" t="inlineStr">
        <is>
          <t>Other credible third-party source (FPDS/SAM-derived)</t>
        </is>
      </c>
      <c r="AG136" s="20" t="inlineStr">
        <is>
          <t>Secondary / aggregator</t>
        </is>
      </c>
      <c r="AH136" s="20" t="inlineStr">
        <is>
          <t>High</t>
        </is>
      </c>
      <c r="AI136" s="20" t="inlineStr">
        <is>
          <t>Distinct delivery/order event. Parent ULCANS IDIQ ceiling is not counted as sales; amendments are not separate events.</t>
        </is>
      </c>
      <c r="AJ136" s="20" t="inlineStr">
        <is>
          <t>Yes</t>
        </is>
      </c>
      <c r="AK136" s="20" t="inlineStr">
        <is>
          <t>Yes</t>
        </is>
      </c>
      <c r="AL136" s="20" t="inlineStr">
        <is>
          <t>No</t>
        </is>
      </c>
      <c r="AM136" s="20" t="inlineStr">
        <is>
          <t>No</t>
        </is>
      </c>
      <c r="AN136" s="20" t="inlineStr">
        <is>
          <t>No</t>
        </is>
      </c>
      <c r="AO136" s="20" t="inlineStr">
        <is>
          <t>Yes</t>
        </is>
      </c>
      <c r="AP136" s="20" t="inlineStr">
        <is>
          <t>Included in Land core</t>
        </is>
      </c>
      <c r="AQ136" s="92" t="n">
        <v>0</v>
      </c>
      <c r="AR136" s="92" t="n">
        <v>0</v>
      </c>
      <c r="AS136" s="92" t="n">
        <v>0</v>
      </c>
      <c r="AT136" s="92" t="n">
        <v>0</v>
      </c>
      <c r="AU136" s="92" t="n">
        <v>0</v>
      </c>
      <c r="AV136" s="92" t="n">
        <v>0</v>
      </c>
      <c r="AW136" s="92" t="n">
        <v>1</v>
      </c>
    </row>
    <row r="137">
      <c r="A137" s="20" t="inlineStr">
        <is>
          <t>SM-0134</t>
        </is>
      </c>
      <c r="B137" s="20" t="inlineStr">
        <is>
          <t>USN-MAST-RAM-TILES</t>
        </is>
      </c>
      <c r="C137" s="98" t="inlineStr">
        <is>
          <t>2026-05-05</t>
        </is>
      </c>
      <c r="D137" s="92" t="n">
        <v>2026</v>
      </c>
      <c r="E137" s="20" t="inlineStr">
        <is>
          <t>United States</t>
        </is>
      </c>
      <c r="F137" s="20" t="inlineStr">
        <is>
          <t>NAVSUP WSS / U.S. Navy</t>
        </is>
      </c>
      <c r="G137" s="20" t="inlineStr">
        <is>
          <t>U.S. Navy</t>
        </is>
      </c>
      <c r="H137" s="20" t="inlineStr">
        <is>
          <t>Navy</t>
        </is>
      </c>
      <c r="I137" s="20" t="inlineStr">
        <is>
          <t>MAST Technologies, Inc.</t>
        </is>
      </c>
      <c r="J137" s="20" t="inlineStr">
        <is>
          <t>MAST Technologies</t>
        </is>
      </c>
      <c r="K137" s="20" t="inlineStr">
        <is>
          <t>USA</t>
        </is>
      </c>
      <c r="L137" s="20" t="inlineStr">
        <is>
          <t>N0010426PUB08</t>
        </is>
      </c>
      <c r="M137" s="20" t="inlineStr">
        <is>
          <t>RAM / Composite</t>
        </is>
      </c>
      <c r="N137" s="20" t="inlineStr">
        <is>
          <t>Rubber tile</t>
        </is>
      </c>
      <c r="O137" s="20" t="inlineStr">
        <is>
          <t>Radar / RCS</t>
        </is>
      </c>
      <c r="P137" s="20" t="inlineStr">
        <is>
          <t>Order</t>
        </is>
      </c>
      <c r="Q137" s="20" t="n"/>
      <c r="R137" s="20" t="inlineStr">
        <is>
          <t>Yes</t>
        </is>
      </c>
      <c r="S137" s="99" t="n"/>
      <c r="T137" s="20" t="inlineStr">
        <is>
          <t>Unknown</t>
        </is>
      </c>
      <c r="U137" s="20" t="n"/>
      <c r="V137" s="100" t="inlineStr">
        <is>
          <t>603300.0</t>
        </is>
      </c>
      <c r="W137" s="20" t="inlineStr">
        <is>
          <t>USD</t>
        </is>
      </c>
      <c r="X137" s="20" t="n"/>
      <c r="Y137" s="20" t="inlineStr">
        <is>
          <t>Obligated / signed if disclosed</t>
        </is>
      </c>
      <c r="Z137" s="20" t="inlineStr">
        <is>
          <t>No</t>
        </is>
      </c>
      <c r="AA137" s="20" t="inlineStr">
        <is>
          <t>Production Procurement</t>
        </is>
      </c>
      <c r="AB137" s="20" t="inlineStr">
        <is>
          <t>Maritime</t>
        </is>
      </c>
      <c r="AC137" s="20" t="inlineStr">
        <is>
          <t>No</t>
        </is>
      </c>
      <c r="AD137" s="20" t="inlineStr">
        <is>
          <t>Maritime/contextual</t>
        </is>
      </c>
      <c r="AE137" s="20" t="inlineStr">
        <is>
          <t>https://www.federalcompass.com/fed-contract-award/N0010426PUB08</t>
        </is>
      </c>
      <c r="AF137" s="20" t="inlineStr">
        <is>
          <t>Other credible third-party source (FPDS/SAM-derived)</t>
        </is>
      </c>
      <c r="AG137" s="20" t="inlineStr">
        <is>
          <t>Secondary / aggregator</t>
        </is>
      </c>
      <c r="AH137" s="20" t="inlineStr">
        <is>
          <t>Medium</t>
        </is>
      </c>
      <c r="AI137" s="20" t="inlineStr">
        <is>
          <t>Distinct orders; linked as a recurring Navy RAM-tile procurement family.</t>
        </is>
      </c>
      <c r="AJ137" s="20" t="inlineStr">
        <is>
          <t>Yes</t>
        </is>
      </c>
      <c r="AK137" s="20" t="inlineStr">
        <is>
          <t>No</t>
        </is>
      </c>
      <c r="AL137" s="20" t="inlineStr">
        <is>
          <t>No</t>
        </is>
      </c>
      <c r="AM137" s="20" t="inlineStr">
        <is>
          <t>No</t>
        </is>
      </c>
      <c r="AN137" s="20" t="inlineStr">
        <is>
          <t>No</t>
        </is>
      </c>
      <c r="AO137" s="20" t="inlineStr">
        <is>
          <t>Yes</t>
        </is>
      </c>
      <c r="AP137" s="20" t="inlineStr">
        <is>
          <t>Retained as contextual; excluded from Land core</t>
        </is>
      </c>
      <c r="AQ137" s="92" t="n">
        <v>0</v>
      </c>
      <c r="AR137" s="92" t="n">
        <v>0</v>
      </c>
      <c r="AS137" s="92" t="n">
        <v>0</v>
      </c>
      <c r="AT137" s="92" t="n">
        <v>0</v>
      </c>
      <c r="AU137" s="92" t="n">
        <v>0</v>
      </c>
      <c r="AV137" s="92" t="n">
        <v>0</v>
      </c>
      <c r="AW137" s="92" t="n">
        <v>0</v>
      </c>
    </row>
    <row r="138">
      <c r="A138" s="20" t="inlineStr">
        <is>
          <t>SM-0135</t>
        </is>
      </c>
      <c r="B138" s="20" t="inlineStr">
        <is>
          <t>ULCANS-IDV-W911QY18D0210</t>
        </is>
      </c>
      <c r="C138" s="98" t="inlineStr">
        <is>
          <t>2026-05-14</t>
        </is>
      </c>
      <c r="D138" s="92" t="n">
        <v>2026</v>
      </c>
      <c r="E138" s="20" t="inlineStr">
        <is>
          <t>United States</t>
        </is>
      </c>
      <c r="F138" s="20" t="inlineStr">
        <is>
          <t>U.S. Army / USMC</t>
        </is>
      </c>
      <c r="G138" s="20" t="inlineStr">
        <is>
          <t>U.S. Army</t>
        </is>
      </c>
      <c r="H138" s="20" t="inlineStr">
        <is>
          <t>Army / Land</t>
        </is>
      </c>
      <c r="I138" s="20" t="inlineStr">
        <is>
          <t>Fibrotex USA Inc. / Fibrotex Technologies</t>
        </is>
      </c>
      <c r="J138" s="20" t="inlineStr">
        <is>
          <t>Fibrotex</t>
        </is>
      </c>
      <c r="K138" s="20" t="inlineStr">
        <is>
          <t>Israel / USA</t>
        </is>
      </c>
      <c r="L138" s="20" t="inlineStr">
        <is>
          <t>ULCANS USMC Congressional</t>
        </is>
      </c>
      <c r="M138" s="20" t="inlineStr">
        <is>
          <t>Nets / Covers</t>
        </is>
      </c>
      <c r="N138" s="20" t="inlineStr">
        <is>
          <t>ULCANS systems</t>
        </is>
      </c>
      <c r="O138" s="20" t="inlineStr">
        <is>
          <t>Multispectral</t>
        </is>
      </c>
      <c r="P138" s="20" t="inlineStr">
        <is>
          <t>Order</t>
        </is>
      </c>
      <c r="Q138" s="20" t="n"/>
      <c r="R138" s="20" t="inlineStr">
        <is>
          <t>Yes</t>
        </is>
      </c>
      <c r="S138" s="99" t="n"/>
      <c r="T138" s="20" t="inlineStr">
        <is>
          <t>Unknown</t>
        </is>
      </c>
      <c r="U138" s="20" t="n"/>
      <c r="V138" s="100" t="inlineStr">
        <is>
          <t>22326399.0</t>
        </is>
      </c>
      <c r="W138" s="20" t="inlineStr">
        <is>
          <t>USD</t>
        </is>
      </c>
      <c r="X138" s="20" t="n"/>
      <c r="Y138" s="20" t="inlineStr">
        <is>
          <t>Obligated / signed if disclosed</t>
        </is>
      </c>
      <c r="Z138" s="20" t="inlineStr">
        <is>
          <t>Yes</t>
        </is>
      </c>
      <c r="AA138" s="20" t="inlineStr">
        <is>
          <t>Production Procurement</t>
        </is>
      </c>
      <c r="AB138" s="20" t="inlineStr">
        <is>
          <t>Land</t>
        </is>
      </c>
      <c r="AC138" s="20" t="inlineStr">
        <is>
          <t>Yes</t>
        </is>
      </c>
      <c r="AD138" s="20" t="n"/>
      <c r="AE138" s="20" t="inlineStr">
        <is>
          <t>https://www.highergov.com/contract/W911QY18D0210-W911QY26FA118/</t>
        </is>
      </c>
      <c r="AF138" s="20" t="inlineStr">
        <is>
          <t>Other credible third-party source (FPDS/SAM-derived)</t>
        </is>
      </c>
      <c r="AG138" s="20" t="inlineStr">
        <is>
          <t>Secondary / aggregator</t>
        </is>
      </c>
      <c r="AH138" s="20" t="inlineStr">
        <is>
          <t>High</t>
        </is>
      </c>
      <c r="AI138" s="20" t="inlineStr">
        <is>
          <t>Distinct delivery/order event. Parent ULCANS IDIQ ceiling is not counted as sales; amendments are not separate events.</t>
        </is>
      </c>
      <c r="AJ138" s="20" t="inlineStr">
        <is>
          <t>Yes</t>
        </is>
      </c>
      <c r="AK138" s="20" t="inlineStr">
        <is>
          <t>Yes</t>
        </is>
      </c>
      <c r="AL138" s="20" t="inlineStr">
        <is>
          <t>No</t>
        </is>
      </c>
      <c r="AM138" s="20" t="inlineStr">
        <is>
          <t>No</t>
        </is>
      </c>
      <c r="AN138" s="20" t="inlineStr">
        <is>
          <t>No</t>
        </is>
      </c>
      <c r="AO138" s="20" t="inlineStr">
        <is>
          <t>Yes</t>
        </is>
      </c>
      <c r="AP138" s="20" t="inlineStr">
        <is>
          <t>Included in Land core</t>
        </is>
      </c>
      <c r="AQ138" s="92" t="n">
        <v>0</v>
      </c>
      <c r="AR138" s="92" t="n">
        <v>0</v>
      </c>
      <c r="AS138" s="92" t="n">
        <v>0</v>
      </c>
      <c r="AT138" s="92" t="n">
        <v>0</v>
      </c>
      <c r="AU138" s="92" t="n">
        <v>0</v>
      </c>
      <c r="AV138" s="92" t="n">
        <v>0</v>
      </c>
      <c r="AW138" s="92" t="n">
        <v>1</v>
      </c>
    </row>
    <row r="139">
      <c r="A139" s="20" t="inlineStr">
        <is>
          <t>SM-0136</t>
        </is>
      </c>
      <c r="B139" s="20" t="inlineStr">
        <is>
          <t>ULCANS-IDV-W911QY18D0210</t>
        </is>
      </c>
      <c r="C139" s="98" t="inlineStr">
        <is>
          <t>2026-05-28</t>
        </is>
      </c>
      <c r="D139" s="92" t="n">
        <v>2026</v>
      </c>
      <c r="E139" s="20" t="inlineStr">
        <is>
          <t>United States</t>
        </is>
      </c>
      <c r="F139" s="20" t="inlineStr">
        <is>
          <t>U.S. Army PEO CSCSS</t>
        </is>
      </c>
      <c r="G139" s="20" t="inlineStr">
        <is>
          <t>U.S. Army</t>
        </is>
      </c>
      <c r="H139" s="20" t="inlineStr">
        <is>
          <t>Army / Land</t>
        </is>
      </c>
      <c r="I139" s="20" t="inlineStr">
        <is>
          <t>Fibrotex USA Inc. / Fibrotex Technologies</t>
        </is>
      </c>
      <c r="J139" s="20" t="inlineStr">
        <is>
          <t>Fibrotex</t>
        </is>
      </c>
      <c r="K139" s="20" t="inlineStr">
        <is>
          <t>Israel / USA</t>
        </is>
      </c>
      <c r="L139" s="20" t="inlineStr">
        <is>
          <t>Camouflage Systems</t>
        </is>
      </c>
      <c r="M139" s="20" t="inlineStr">
        <is>
          <t>Nets / Covers</t>
        </is>
      </c>
      <c r="N139" s="20" t="inlineStr">
        <is>
          <t>Camouflage systems</t>
        </is>
      </c>
      <c r="O139" s="20" t="inlineStr">
        <is>
          <t>Multispectral</t>
        </is>
      </c>
      <c r="P139" s="20" t="inlineStr">
        <is>
          <t>Order</t>
        </is>
      </c>
      <c r="Q139" s="20" t="n"/>
      <c r="R139" s="20" t="inlineStr">
        <is>
          <t>Yes</t>
        </is>
      </c>
      <c r="S139" s="99" t="n"/>
      <c r="T139" s="20" t="inlineStr">
        <is>
          <t>Unknown</t>
        </is>
      </c>
      <c r="U139" s="20" t="n"/>
      <c r="V139" s="100" t="inlineStr">
        <is>
          <t>1700000.0</t>
        </is>
      </c>
      <c r="W139" s="20" t="inlineStr">
        <is>
          <t>USD</t>
        </is>
      </c>
      <c r="X139" s="20" t="n"/>
      <c r="Y139" s="20" t="inlineStr">
        <is>
          <t>Obligated / signed if disclosed</t>
        </is>
      </c>
      <c r="Z139" s="20" t="inlineStr">
        <is>
          <t>Yes</t>
        </is>
      </c>
      <c r="AA139" s="20" t="inlineStr">
        <is>
          <t>Production Procurement</t>
        </is>
      </c>
      <c r="AB139" s="20" t="inlineStr">
        <is>
          <t>Land</t>
        </is>
      </c>
      <c r="AC139" s="20" t="inlineStr">
        <is>
          <t>Yes</t>
        </is>
      </c>
      <c r="AD139" s="20" t="n"/>
      <c r="AE139" s="20" t="inlineStr">
        <is>
          <t>https://www.highergov.com/awardee/fibrotex-usa-inc-12685034/</t>
        </is>
      </c>
      <c r="AF139" s="20" t="inlineStr">
        <is>
          <t>Other credible third-party source (FPDS/SAM-derived)</t>
        </is>
      </c>
      <c r="AG139" s="20" t="inlineStr">
        <is>
          <t>Secondary / aggregator</t>
        </is>
      </c>
      <c r="AH139" s="20" t="inlineStr">
        <is>
          <t>High</t>
        </is>
      </c>
      <c r="AI139" s="20" t="inlineStr">
        <is>
          <t>Distinct delivery/order event. Parent ULCANS IDIQ ceiling is not counted as sales; amendments are not separate events.</t>
        </is>
      </c>
      <c r="AJ139" s="20" t="inlineStr">
        <is>
          <t>Yes</t>
        </is>
      </c>
      <c r="AK139" s="20" t="inlineStr">
        <is>
          <t>No</t>
        </is>
      </c>
      <c r="AL139" s="20" t="inlineStr">
        <is>
          <t>No</t>
        </is>
      </c>
      <c r="AM139" s="20" t="inlineStr">
        <is>
          <t>No</t>
        </is>
      </c>
      <c r="AN139" s="20" t="inlineStr">
        <is>
          <t>No</t>
        </is>
      </c>
      <c r="AO139" s="20" t="inlineStr">
        <is>
          <t>Yes</t>
        </is>
      </c>
      <c r="AP139" s="20" t="inlineStr">
        <is>
          <t>Included in Land core</t>
        </is>
      </c>
      <c r="AQ139" s="92" t="n">
        <v>0</v>
      </c>
      <c r="AR139" s="92" t="n">
        <v>0</v>
      </c>
      <c r="AS139" s="92" t="n">
        <v>0</v>
      </c>
      <c r="AT139" s="92" t="n">
        <v>0</v>
      </c>
      <c r="AU139" s="92" t="n">
        <v>0</v>
      </c>
      <c r="AV139" s="92" t="n">
        <v>0</v>
      </c>
      <c r="AW139" s="92" t="n">
        <v>1</v>
      </c>
    </row>
    <row r="140">
      <c r="A140" s="20" t="inlineStr">
        <is>
          <t>SM-0137</t>
        </is>
      </c>
      <c r="B140" s="20" t="inlineStr">
        <is>
          <t>ARC-N6523626QE234</t>
        </is>
      </c>
      <c r="C140" s="98" t="inlineStr">
        <is>
          <t>2026-05-29</t>
        </is>
      </c>
      <c r="D140" s="92" t="n">
        <v>2026</v>
      </c>
      <c r="E140" s="20" t="inlineStr">
        <is>
          <t>United States</t>
        </is>
      </c>
      <c r="F140" s="20" t="inlineStr">
        <is>
          <t>NIWC Atlantic / U.S. Navy</t>
        </is>
      </c>
      <c r="G140" s="20" t="inlineStr">
        <is>
          <t>U.S. Navy / NIWC Atlantic</t>
        </is>
      </c>
      <c r="H140" s="20" t="inlineStr">
        <is>
          <t>Navy</t>
        </is>
      </c>
      <c r="I140" s="20" t="inlineStr">
        <is>
          <t>ARC Technologies LLC (Hexcel subsidiary)</t>
        </is>
      </c>
      <c r="J140" s="20" t="inlineStr">
        <is>
          <t>ARC Technologies / Hexcel</t>
        </is>
      </c>
      <c r="K140" s="20" t="inlineStr">
        <is>
          <t>USA</t>
        </is>
      </c>
      <c r="L140" s="20" t="inlineStr">
        <is>
          <t>N6523626QE234</t>
        </is>
      </c>
      <c r="M140" s="20" t="inlineStr">
        <is>
          <t>RAM / Composite</t>
        </is>
      </c>
      <c r="N140" s="20" t="inlineStr">
        <is>
          <t>Radar Absorbing Material</t>
        </is>
      </c>
      <c r="O140" s="20" t="inlineStr">
        <is>
          <t>Radar / RCS</t>
        </is>
      </c>
      <c r="P140" s="20" t="inlineStr">
        <is>
          <t>RFP</t>
        </is>
      </c>
      <c r="Q140" s="20" t="n"/>
      <c r="R140" s="20" t="inlineStr">
        <is>
          <t>No</t>
        </is>
      </c>
      <c r="S140" s="99" t="n"/>
      <c r="T140" s="20" t="inlineStr">
        <is>
          <t>Unknown</t>
        </is>
      </c>
      <c r="U140" s="20" t="n"/>
      <c r="V140" s="100" t="n"/>
      <c r="W140" s="20" t="n"/>
      <c r="X140" s="20" t="n"/>
      <c r="Y140" s="20" t="inlineStr">
        <is>
          <t>Obligated / signed if disclosed</t>
        </is>
      </c>
      <c r="Z140" s="20" t="inlineStr">
        <is>
          <t>No</t>
        </is>
      </c>
      <c r="AA140" s="20" t="inlineStr">
        <is>
          <t>Demand</t>
        </is>
      </c>
      <c r="AB140" s="20" t="inlineStr">
        <is>
          <t>Other / Contextual</t>
        </is>
      </c>
      <c r="AC140" s="20" t="inlineStr">
        <is>
          <t>No</t>
        </is>
      </c>
      <c r="AD140" s="20" t="inlineStr">
        <is>
          <t>End use / platform not publicly established; naval contracting organization alone is insufficient for Maritime classification</t>
        </is>
      </c>
      <c r="AE140" s="20" t="inlineStr">
        <is>
          <t>https://www.fbodaily.com/archive/2026/05-May/31-May-2026/FBO-07834472.htm</t>
        </is>
      </c>
      <c r="AF140" s="20" t="inlineStr">
        <is>
          <t>Other credible third-party source (SAM-derived)</t>
        </is>
      </c>
      <c r="AG140" s="20" t="inlineStr">
        <is>
          <t>Secondary / aggregator</t>
        </is>
      </c>
      <c r="AH140" s="20" t="inlineStr">
        <is>
          <t>High</t>
        </is>
      </c>
      <c r="AI140" s="20" t="inlineStr">
        <is>
          <t>Presolicitation / demand signal; no public award found in this search as of 2026-09-06.</t>
        </is>
      </c>
      <c r="AJ140" s="20" t="inlineStr">
        <is>
          <t>Yes</t>
        </is>
      </c>
      <c r="AK140" s="20" t="inlineStr">
        <is>
          <t>No</t>
        </is>
      </c>
      <c r="AL140" s="20" t="inlineStr">
        <is>
          <t>No</t>
        </is>
      </c>
      <c r="AM140" s="20" t="inlineStr">
        <is>
          <t>No</t>
        </is>
      </c>
      <c r="AN140" s="20" t="inlineStr">
        <is>
          <t>No</t>
        </is>
      </c>
      <c r="AO140" s="20" t="inlineStr">
        <is>
          <t>No</t>
        </is>
      </c>
      <c r="AP140" s="20" t="inlineStr">
        <is>
          <t>Retained as contextual; excluded from Land core</t>
        </is>
      </c>
      <c r="AQ140" s="92" t="n">
        <v>0</v>
      </c>
      <c r="AR140" s="92" t="n">
        <v>0</v>
      </c>
      <c r="AS140" s="92" t="n">
        <v>0</v>
      </c>
      <c r="AT140" s="92" t="n">
        <v>0</v>
      </c>
      <c r="AU140" s="92" t="n">
        <v>0</v>
      </c>
      <c r="AV140" s="92" t="n">
        <v>0</v>
      </c>
      <c r="AW140" s="92" t="n">
        <v>0</v>
      </c>
    </row>
    <row r="141">
      <c r="A141" s="20" t="inlineStr">
        <is>
          <t>SM-0138</t>
        </is>
      </c>
      <c r="B141" s="20" t="inlineStr">
        <is>
          <t>PL-NAREW-CAMO</t>
        </is>
      </c>
      <c r="C141" s="98" t="inlineStr">
        <is>
          <t>2026-05-30</t>
        </is>
      </c>
      <c r="D141" s="92" t="n">
        <v>2026</v>
      </c>
      <c r="E141" s="20" t="inlineStr">
        <is>
          <t>Poland</t>
        </is>
      </c>
      <c r="F141" s="20" t="inlineStr">
        <is>
          <t>Polish defense prime / state procurement chain</t>
        </is>
      </c>
      <c r="G141" s="20" t="inlineStr">
        <is>
          <t>Polish defense prime / state procurement chain</t>
        </is>
      </c>
      <c r="H141" s="20" t="inlineStr">
        <is>
          <t>Defence / not disclosed</t>
        </is>
      </c>
      <c r="I141" s="20" t="inlineStr">
        <is>
          <t>Lubawa S.A.</t>
        </is>
      </c>
      <c r="J141" s="20" t="inlineStr">
        <is>
          <t>Lubawa</t>
        </is>
      </c>
      <c r="K141" s="20" t="inlineStr">
        <is>
          <t>Poland</t>
        </is>
      </c>
      <c r="L141" s="20" t="inlineStr">
        <is>
          <t>NAREW</t>
        </is>
      </c>
      <c r="M141" s="20" t="inlineStr">
        <is>
          <t>Other</t>
        </is>
      </c>
      <c r="N141" s="20" t="inlineStr">
        <is>
          <t>Camouflage and deception for NAREW</t>
        </is>
      </c>
      <c r="O141" s="20" t="inlineStr">
        <is>
          <t>Other relevant domain</t>
        </is>
      </c>
      <c r="P141" s="20" t="inlineStr">
        <is>
          <t>Product Selection</t>
        </is>
      </c>
      <c r="Q141" s="20" t="n"/>
      <c r="R141" s="20" t="inlineStr">
        <is>
          <t>No</t>
        </is>
      </c>
      <c r="S141" s="99" t="n"/>
      <c r="T141" s="20" t="inlineStr">
        <is>
          <t>Unknown</t>
        </is>
      </c>
      <c r="U141" s="20" t="n"/>
      <c r="V141" s="100" t="n"/>
      <c r="W141" s="20" t="n"/>
      <c r="X141" s="20" t="n"/>
      <c r="Y141" s="20" t="inlineStr">
        <is>
          <t>Obligated / signed if disclosed</t>
        </is>
      </c>
      <c r="Z141" s="20" t="inlineStr">
        <is>
          <t>No</t>
        </is>
      </c>
      <c r="AA141" s="20" t="inlineStr">
        <is>
          <t>Selection</t>
        </is>
      </c>
      <c r="AB141" s="20" t="inlineStr">
        <is>
          <t>Land</t>
        </is>
      </c>
      <c r="AC141" s="20" t="inlineStr">
        <is>
          <t>Yes</t>
        </is>
      </c>
      <c r="AD141" s="20" t="n"/>
      <c r="AE141" s="20" t="inlineStr">
        <is>
          <t>https://pap-mediaroom.pl/biznes-i-finanse/lubawa-sa-82026-powziecie-przez-lubawa-sa-informacji-o-wysokim-prawdopodobienstwie</t>
        </is>
      </c>
      <c r="AF141" s="20" t="inlineStr">
        <is>
          <t>Official company announcement</t>
        </is>
      </c>
      <c r="AG141" s="20" t="inlineStr">
        <is>
          <t>Supplier / prime announcement</t>
        </is>
      </c>
      <c r="AH141" s="20" t="inlineStr">
        <is>
          <t>Medium</t>
        </is>
      </c>
      <c r="AI141" s="20" t="inlineStr">
        <is>
          <t>Selection / negotiation signal, not a completed sale; no value included.</t>
        </is>
      </c>
      <c r="AJ141" s="20" t="inlineStr">
        <is>
          <t>Yes</t>
        </is>
      </c>
      <c r="AK141" s="20" t="inlineStr">
        <is>
          <t>No</t>
        </is>
      </c>
      <c r="AL141" s="20" t="inlineStr">
        <is>
          <t>No</t>
        </is>
      </c>
      <c r="AM141" s="20" t="inlineStr">
        <is>
          <t>No</t>
        </is>
      </c>
      <c r="AN141" s="20" t="inlineStr">
        <is>
          <t>No</t>
        </is>
      </c>
      <c r="AO141" s="20" t="inlineStr">
        <is>
          <t>No</t>
        </is>
      </c>
      <c r="AP141" s="20" t="inlineStr">
        <is>
          <t>Included in Land core</t>
        </is>
      </c>
      <c r="AQ141" s="92" t="n">
        <v>1</v>
      </c>
      <c r="AR141" s="92" t="n">
        <v>0</v>
      </c>
      <c r="AS141" s="92" t="n">
        <v>1</v>
      </c>
      <c r="AT141" s="92" t="n">
        <v>1</v>
      </c>
      <c r="AU141" s="92" t="n">
        <v>1</v>
      </c>
      <c r="AV141" s="92" t="n">
        <v>1</v>
      </c>
      <c r="AW141" s="92" t="n">
        <v>0</v>
      </c>
    </row>
    <row r="142">
      <c r="A142" s="20" t="inlineStr">
        <is>
          <t>SM-0139</t>
        </is>
      </c>
      <c r="B142" s="20" t="inlineStr">
        <is>
          <t>PL-WISLA-II-CAMO</t>
        </is>
      </c>
      <c r="C142" s="98" t="inlineStr">
        <is>
          <t>2026-05-30</t>
        </is>
      </c>
      <c r="D142" s="92" t="n">
        <v>2026</v>
      </c>
      <c r="E142" s="20" t="inlineStr">
        <is>
          <t>Poland</t>
        </is>
      </c>
      <c r="F142" s="20" t="inlineStr">
        <is>
          <t>Polish State / Armament Agency</t>
        </is>
      </c>
      <c r="G142" s="20" t="inlineStr">
        <is>
          <t>Polish State / Armament Agency</t>
        </is>
      </c>
      <c r="H142" s="20" t="inlineStr">
        <is>
          <t>Defence / not disclosed</t>
        </is>
      </c>
      <c r="I142" s="20" t="inlineStr">
        <is>
          <t>Lubawa S.A.</t>
        </is>
      </c>
      <c r="J142" s="20" t="inlineStr">
        <is>
          <t>Lubawa</t>
        </is>
      </c>
      <c r="K142" s="20" t="inlineStr">
        <is>
          <t>Poland</t>
        </is>
      </c>
      <c r="L142" s="20" t="inlineStr">
        <is>
          <t>Wisła II</t>
        </is>
      </c>
      <c r="M142" s="20" t="inlineStr">
        <is>
          <t>Other</t>
        </is>
      </c>
      <c r="N142" s="20" t="inlineStr">
        <is>
          <t>Camouflage and deception systems for Wisła II</t>
        </is>
      </c>
      <c r="O142" s="20" t="inlineStr">
        <is>
          <t>Other relevant domain</t>
        </is>
      </c>
      <c r="P142" s="20" t="inlineStr">
        <is>
          <t>Contract Award</t>
        </is>
      </c>
      <c r="Q142" s="20" t="n"/>
      <c r="R142" s="20" t="inlineStr">
        <is>
          <t>Yes</t>
        </is>
      </c>
      <c r="S142" s="99" t="n"/>
      <c r="T142" s="20" t="inlineStr">
        <is>
          <t>Unknown</t>
        </is>
      </c>
      <c r="U142" s="20" t="n"/>
      <c r="V142" s="100" t="inlineStr">
        <is>
          <t>586000000.0</t>
        </is>
      </c>
      <c r="W142" s="20" t="inlineStr">
        <is>
          <t>PLN</t>
        </is>
      </c>
      <c r="X142" s="20" t="n"/>
      <c r="Y142" s="20" t="inlineStr">
        <is>
          <t>Obligated / signed if disclosed</t>
        </is>
      </c>
      <c r="Z142" s="20" t="inlineStr">
        <is>
          <t>No</t>
        </is>
      </c>
      <c r="AA142" s="20" t="inlineStr">
        <is>
          <t>Production Procurement</t>
        </is>
      </c>
      <c r="AB142" s="20" t="inlineStr">
        <is>
          <t>Land</t>
        </is>
      </c>
      <c r="AC142" s="20" t="inlineStr">
        <is>
          <t>Yes</t>
        </is>
      </c>
      <c r="AD142" s="20" t="n"/>
      <c r="AE142" s="20" t="inlineStr">
        <is>
          <t>https://pap-mediaroom.pl/biznes-i-finanse/lubawa-sa-72026-zawarcie-znaczacej-umowy-oraz-ujawnienie-opoznionej-informacji</t>
        </is>
      </c>
      <c r="AF142" s="20" t="inlineStr">
        <is>
          <t>Official company announcement</t>
        </is>
      </c>
      <c r="AG142" s="20" t="inlineStr">
        <is>
          <t>Supplier / prime announcement</t>
        </is>
      </c>
      <c r="AH142" s="20" t="inlineStr">
        <is>
          <t>Medium</t>
        </is>
      </c>
      <c r="AI142" s="20" t="inlineStr">
        <is>
          <t>One consortium contract; do not duplicate value under both Lubawa and Miranda in market totals. Exact spectral bands not disclosed in cited source.</t>
        </is>
      </c>
      <c r="AJ142" s="20" t="inlineStr">
        <is>
          <t>Yes</t>
        </is>
      </c>
      <c r="AK142" s="20" t="inlineStr">
        <is>
          <t>No</t>
        </is>
      </c>
      <c r="AL142" s="20" t="inlineStr">
        <is>
          <t>No</t>
        </is>
      </c>
      <c r="AM142" s="20" t="inlineStr">
        <is>
          <t>No</t>
        </is>
      </c>
      <c r="AN142" s="20" t="inlineStr">
        <is>
          <t>No</t>
        </is>
      </c>
      <c r="AO142" s="20" t="inlineStr">
        <is>
          <t>No</t>
        </is>
      </c>
      <c r="AP142" s="20" t="inlineStr">
        <is>
          <t>Included in Land core</t>
        </is>
      </c>
      <c r="AQ142" s="92" t="n">
        <v>1</v>
      </c>
      <c r="AR142" s="92" t="n">
        <v>1</v>
      </c>
      <c r="AS142" s="92" t="n">
        <v>0</v>
      </c>
      <c r="AT142" s="92" t="n">
        <v>1</v>
      </c>
      <c r="AU142" s="92" t="n">
        <v>0</v>
      </c>
      <c r="AV142" s="92" t="n">
        <v>1</v>
      </c>
      <c r="AW142" s="92" t="n">
        <v>0</v>
      </c>
    </row>
    <row r="143">
      <c r="A143" s="20" t="inlineStr">
        <is>
          <t>SM-0140</t>
        </is>
      </c>
      <c r="B143" s="20" t="inlineStr">
        <is>
          <t>NL-SAAB-MCS-2026</t>
        </is>
      </c>
      <c r="C143" s="98" t="inlineStr">
        <is>
          <t>2026-06-10</t>
        </is>
      </c>
      <c r="D143" s="92" t="n">
        <v>2026</v>
      </c>
      <c r="E143" s="20" t="inlineStr">
        <is>
          <t>Netherlands</t>
        </is>
      </c>
      <c r="F143" s="20" t="inlineStr">
        <is>
          <t>Netherlands Ministry of Defence</t>
        </is>
      </c>
      <c r="G143" s="20" t="inlineStr">
        <is>
          <t>Netherlands Ministry of Defence</t>
        </is>
      </c>
      <c r="H143" s="20" t="inlineStr">
        <is>
          <t>Army / Land</t>
        </is>
      </c>
      <c r="I143" s="20" t="inlineStr">
        <is>
          <t>Saab AB / Saab Barracuda AB</t>
        </is>
      </c>
      <c r="J143" s="20" t="inlineStr">
        <is>
          <t>Saab Barracuda</t>
        </is>
      </c>
      <c r="K143" s="20" t="inlineStr">
        <is>
          <t>Sweden</t>
        </is>
      </c>
      <c r="L143" s="20" t="inlineStr">
        <is>
          <t>Fennek, PzH2000NL, CV90 and other vehicles</t>
        </is>
      </c>
      <c r="M143" s="20" t="inlineStr">
        <is>
          <t>Vehicle Camouflage System</t>
        </is>
      </c>
      <c r="N143" s="20" t="inlineStr">
        <is>
          <t>Mobile camouflage systems</t>
        </is>
      </c>
      <c r="O143" s="20" t="inlineStr">
        <is>
          <t>Multispectral</t>
        </is>
      </c>
      <c r="P143" s="20" t="inlineStr">
        <is>
          <t>Framework / IDIQ</t>
        </is>
      </c>
      <c r="Q143" s="20" t="n"/>
      <c r="R143" s="20" t="inlineStr">
        <is>
          <t>No</t>
        </is>
      </c>
      <c r="S143" s="99" t="n"/>
      <c r="T143" s="20" t="inlineStr">
        <is>
          <t>sets</t>
        </is>
      </c>
      <c r="U143" s="20" t="n"/>
      <c r="V143" s="100" t="n"/>
      <c r="W143" s="20" t="n"/>
      <c r="X143" s="20" t="n"/>
      <c r="Y143" s="20" t="inlineStr">
        <is>
          <t>Framework / ceiling</t>
        </is>
      </c>
      <c r="Z143" s="20" t="inlineStr">
        <is>
          <t>No</t>
        </is>
      </c>
      <c r="AA143" s="20" t="inlineStr">
        <is>
          <t>Framework</t>
        </is>
      </c>
      <c r="AB143" s="20" t="inlineStr">
        <is>
          <t>Land</t>
        </is>
      </c>
      <c r="AC143" s="20" t="inlineStr">
        <is>
          <t>Yes</t>
        </is>
      </c>
      <c r="AD143" s="20" t="n"/>
      <c r="AE143" s="20" t="inlineStr">
        <is>
          <t>https://www.defensie.nl/actueel/nieuws/2026/06/10/camouflagesystemen-vergroten-overlevingskansen-van-militair</t>
        </is>
      </c>
      <c r="AF143" s="20" t="inlineStr">
        <is>
          <t>Official military / customer source</t>
        </is>
      </c>
      <c r="AG143" s="20" t="inlineStr">
        <is>
          <t>Secondary / aggregator</t>
        </is>
      </c>
      <c r="AH143" s="20" t="inlineStr">
        <is>
          <t>High</t>
        </is>
      </c>
      <c r="AI143" s="20" t="inlineStr">
        <is>
          <t>Framework/agreement milestone; no public value disclosed.</t>
        </is>
      </c>
      <c r="AJ143" s="20" t="inlineStr">
        <is>
          <t>Yes</t>
        </is>
      </c>
      <c r="AK143" s="20" t="inlineStr">
        <is>
          <t>No</t>
        </is>
      </c>
      <c r="AL143" s="20" t="inlineStr">
        <is>
          <t>No</t>
        </is>
      </c>
      <c r="AM143" s="20" t="inlineStr">
        <is>
          <t>No</t>
        </is>
      </c>
      <c r="AN143" s="20" t="inlineStr">
        <is>
          <t>No</t>
        </is>
      </c>
      <c r="AO143" s="20" t="inlineStr">
        <is>
          <t>Yes</t>
        </is>
      </c>
      <c r="AP143" s="20" t="inlineStr">
        <is>
          <t>Included in Land core</t>
        </is>
      </c>
      <c r="AQ143" s="92" t="n">
        <v>1</v>
      </c>
      <c r="AR143" s="92" t="n">
        <v>0</v>
      </c>
      <c r="AS143" s="92" t="n">
        <v>0</v>
      </c>
      <c r="AT143" s="92" t="n">
        <v>1</v>
      </c>
      <c r="AU143" s="92" t="n">
        <v>1</v>
      </c>
      <c r="AV143" s="92" t="n">
        <v>1</v>
      </c>
      <c r="AW143" s="92" t="n">
        <v>0</v>
      </c>
    </row>
    <row r="144">
      <c r="A144" s="20" t="inlineStr">
        <is>
          <t>SM-0141</t>
        </is>
      </c>
      <c r="B144" s="20" t="inlineStr">
        <is>
          <t>PL-MIR-COVERS-2026</t>
        </is>
      </c>
      <c r="C144" s="98" t="inlineStr">
        <is>
          <t>2026-06-25</t>
        </is>
      </c>
      <c r="D144" s="92" t="n">
        <v>2026</v>
      </c>
      <c r="E144" s="20" t="inlineStr">
        <is>
          <t>Poland</t>
        </is>
      </c>
      <c r="F144" s="20" t="inlineStr">
        <is>
          <t>Domestic contractor from PGZ Group</t>
        </is>
      </c>
      <c r="G144" s="20" t="inlineStr">
        <is>
          <t>Domestic contractor from PGZ Group</t>
        </is>
      </c>
      <c r="H144" s="20" t="inlineStr">
        <is>
          <t>Defence / not disclosed</t>
        </is>
      </c>
      <c r="I144" s="20" t="inlineStr">
        <is>
          <t>Miranda Sp. z o.o. (Lubawa Group)</t>
        </is>
      </c>
      <c r="J144" s="20" t="inlineStr">
        <is>
          <t>Miranda Textiles</t>
        </is>
      </c>
      <c r="K144" s="20" t="inlineStr">
        <is>
          <t>Poland</t>
        </is>
      </c>
      <c r="L144" s="20" t="inlineStr">
        <is>
          <t>Military platform camouflage</t>
        </is>
      </c>
      <c r="M144" s="20" t="inlineStr">
        <is>
          <t>Nets / Covers</t>
        </is>
      </c>
      <c r="N144" s="20" t="inlineStr">
        <is>
          <t>Multiband camouflage covers</t>
        </is>
      </c>
      <c r="O144" s="20" t="inlineStr">
        <is>
          <t>Multispectral</t>
        </is>
      </c>
      <c r="P144" s="20" t="inlineStr">
        <is>
          <t>Contract Award</t>
        </is>
      </c>
      <c r="Q144" s="20" t="n"/>
      <c r="R144" s="20" t="inlineStr">
        <is>
          <t>Yes</t>
        </is>
      </c>
      <c r="S144" s="99" t="n"/>
      <c r="T144" s="20" t="inlineStr">
        <is>
          <t>Unknown</t>
        </is>
      </c>
      <c r="U144" s="20" t="n"/>
      <c r="V144" s="100" t="inlineStr">
        <is>
          <t>7600000.0</t>
        </is>
      </c>
      <c r="W144" s="20" t="inlineStr">
        <is>
          <t>PLN</t>
        </is>
      </c>
      <c r="X144" s="20" t="n"/>
      <c r="Y144" s="20" t="inlineStr">
        <is>
          <t>Obligated / signed if disclosed</t>
        </is>
      </c>
      <c r="Z144" s="20" t="inlineStr">
        <is>
          <t>No</t>
        </is>
      </c>
      <c r="AA144" s="20" t="inlineStr">
        <is>
          <t>Production Procurement</t>
        </is>
      </c>
      <c r="AB144" s="20" t="inlineStr">
        <is>
          <t>Land</t>
        </is>
      </c>
      <c r="AC144" s="20" t="inlineStr">
        <is>
          <t>Yes</t>
        </is>
      </c>
      <c r="AD144" s="20" t="n"/>
      <c r="AE144" s="20" t="inlineStr">
        <is>
          <t>https://pap-mediaroom.pl/biznes-i-finanse/lubawa-sa-132026-podpisanie-istotnej-umowy-przez-spolke-zalezna-miranda</t>
        </is>
      </c>
      <c r="AF144" s="20" t="inlineStr">
        <is>
          <t>Official company announcement</t>
        </is>
      </c>
      <c r="AG144" s="20" t="inlineStr">
        <is>
          <t>Supplier / prime announcement</t>
        </is>
      </c>
      <c r="AH144" s="20" t="inlineStr">
        <is>
          <t>High</t>
        </is>
      </c>
      <c r="AI144" s="20" t="inlineStr">
        <is>
          <t>Separate contract from the 2025 multiband-cover agreement.</t>
        </is>
      </c>
      <c r="AJ144" s="20" t="inlineStr">
        <is>
          <t>Yes</t>
        </is>
      </c>
      <c r="AK144" s="20" t="inlineStr">
        <is>
          <t>No</t>
        </is>
      </c>
      <c r="AL144" s="20" t="inlineStr">
        <is>
          <t>No</t>
        </is>
      </c>
      <c r="AM144" s="20" t="inlineStr">
        <is>
          <t>No</t>
        </is>
      </c>
      <c r="AN144" s="20" t="inlineStr">
        <is>
          <t>No</t>
        </is>
      </c>
      <c r="AO144" s="20" t="inlineStr">
        <is>
          <t>No</t>
        </is>
      </c>
      <c r="AP144" s="20" t="inlineStr">
        <is>
          <t>Included in Land core</t>
        </is>
      </c>
      <c r="AQ144" s="92" t="n">
        <v>1</v>
      </c>
      <c r="AR144" s="92" t="n">
        <v>1</v>
      </c>
      <c r="AS144" s="92" t="n">
        <v>1</v>
      </c>
      <c r="AT144" s="92" t="n">
        <v>1</v>
      </c>
      <c r="AU144" s="92" t="n">
        <v>0</v>
      </c>
      <c r="AV144" s="92" t="n">
        <v>1</v>
      </c>
      <c r="AW144" s="92" t="n">
        <v>0</v>
      </c>
    </row>
    <row r="145">
      <c r="A145" s="20" t="inlineStr">
        <is>
          <t>SM-0142</t>
        </is>
      </c>
      <c r="B145" s="20" t="inlineStr">
        <is>
          <t>ARC-N0017826Q6808</t>
        </is>
      </c>
      <c r="C145" s="98" t="inlineStr">
        <is>
          <t>2026-07-02</t>
        </is>
      </c>
      <c r="D145" s="92" t="n">
        <v>2026</v>
      </c>
      <c r="E145" s="20" t="inlineStr">
        <is>
          <t>United States</t>
        </is>
      </c>
      <c r="F145" s="20" t="inlineStr">
        <is>
          <t>NSWC Dahlgren Division / U.S. Navy</t>
        </is>
      </c>
      <c r="G145" s="20" t="inlineStr">
        <is>
          <t>U.S. Navy</t>
        </is>
      </c>
      <c r="H145" s="20" t="inlineStr">
        <is>
          <t>Navy</t>
        </is>
      </c>
      <c r="I145" s="20" t="inlineStr">
        <is>
          <t>ARC Technologies LLC (Hexcel subsidiary)</t>
        </is>
      </c>
      <c r="J145" s="20" t="inlineStr">
        <is>
          <t>ARC Technologies / Hexcel</t>
        </is>
      </c>
      <c r="K145" s="20" t="inlineStr">
        <is>
          <t>USA</t>
        </is>
      </c>
      <c r="L145" s="20" t="inlineStr">
        <is>
          <t>N0017826Q6808 / N0017826P6808</t>
        </is>
      </c>
      <c r="M145" s="20" t="inlineStr">
        <is>
          <t>RAM / Composite</t>
        </is>
      </c>
      <c r="N145" s="20" t="inlineStr">
        <is>
          <t>Ferrite silicone absorber, MAGRAM and Jaumann absorber materials</t>
        </is>
      </c>
      <c r="O145" s="20" t="inlineStr">
        <is>
          <t>Radar / RCS</t>
        </is>
      </c>
      <c r="P145" s="20" t="inlineStr">
        <is>
          <t>RFQ</t>
        </is>
      </c>
      <c r="Q145" s="20" t="n"/>
      <c r="R145" s="20" t="inlineStr">
        <is>
          <t>No</t>
        </is>
      </c>
      <c r="S145" s="99" t="inlineStr">
        <is>
          <t>160</t>
        </is>
      </c>
      <c r="T145" s="20" t="inlineStr">
        <is>
          <t>units</t>
        </is>
      </c>
      <c r="U145" s="20" t="n"/>
      <c r="V145" s="100" t="n"/>
      <c r="W145" s="20" t="n"/>
      <c r="X145" s="20" t="n"/>
      <c r="Y145" s="20" t="inlineStr">
        <is>
          <t>Obligated / signed if disclosed</t>
        </is>
      </c>
      <c r="Z145" s="20" t="inlineStr">
        <is>
          <t>No</t>
        </is>
      </c>
      <c r="AA145" s="20" t="inlineStr">
        <is>
          <t>Demand</t>
        </is>
      </c>
      <c r="AB145" s="20" t="inlineStr">
        <is>
          <t>Other / Contextual</t>
        </is>
      </c>
      <c r="AC145" s="20" t="inlineStr">
        <is>
          <t>No</t>
        </is>
      </c>
      <c r="AD145" s="20" t="inlineStr">
        <is>
          <t>End use / platform not publicly established; naval contracting organization alone is insufficient for Maritime classification</t>
        </is>
      </c>
      <c r="AE145" s="20" t="inlineStr">
        <is>
          <t>https://govtribe.com/opportunity/federal-contract-opportunity/arc-ram-n0017826p6808</t>
        </is>
      </c>
      <c r="AF145" s="20" t="inlineStr">
        <is>
          <t>Other credible third-party source (SAM-derived)</t>
        </is>
      </c>
      <c r="AG145" s="20" t="inlineStr">
        <is>
          <t>Secondary / aggregator</t>
        </is>
      </c>
      <c r="AH145" s="20" t="inlineStr">
        <is>
          <t>High</t>
        </is>
      </c>
      <c r="AI145" s="20" t="inlineStr">
        <is>
          <t>RFQ only; no award date was public in the cited source as of the research cutoff.</t>
        </is>
      </c>
      <c r="AJ145" s="20" t="inlineStr">
        <is>
          <t>Yes</t>
        </is>
      </c>
      <c r="AK145" s="20" t="inlineStr">
        <is>
          <t>No</t>
        </is>
      </c>
      <c r="AL145" s="20" t="inlineStr">
        <is>
          <t>No</t>
        </is>
      </c>
      <c r="AM145" s="20" t="inlineStr">
        <is>
          <t>No</t>
        </is>
      </c>
      <c r="AN145" s="20" t="inlineStr">
        <is>
          <t>No</t>
        </is>
      </c>
      <c r="AO145" s="20" t="inlineStr">
        <is>
          <t>No</t>
        </is>
      </c>
      <c r="AP145" s="20" t="inlineStr">
        <is>
          <t>Retained as contextual; excluded from Land core</t>
        </is>
      </c>
      <c r="AQ145" s="92" t="n">
        <v>0</v>
      </c>
      <c r="AR145" s="92" t="n">
        <v>0</v>
      </c>
      <c r="AS145" s="92" t="n">
        <v>0</v>
      </c>
      <c r="AT145" s="92" t="n">
        <v>0</v>
      </c>
      <c r="AU145" s="92" t="n">
        <v>0</v>
      </c>
      <c r="AV145" s="92" t="n">
        <v>0</v>
      </c>
      <c r="AW145" s="92" t="n">
        <v>0</v>
      </c>
    </row>
    <row r="146">
      <c r="A146" s="20" t="inlineStr">
        <is>
          <t>SM-0143</t>
        </is>
      </c>
      <c r="B146" s="20" t="inlineStr">
        <is>
          <t>IN-GEM-5756973</t>
        </is>
      </c>
      <c r="C146" s="98" t="inlineStr">
        <is>
          <t>2026-08-07</t>
        </is>
      </c>
      <c r="D146" s="92" t="n">
        <v>2026</v>
      </c>
      <c r="E146" s="20" t="inlineStr">
        <is>
          <t>India</t>
        </is>
      </c>
      <c r="F146" s="20" t="inlineStr">
        <is>
          <t>Indian Ministry of Defence / Department of Military Affairs / Army</t>
        </is>
      </c>
      <c r="G146" s="20" t="inlineStr">
        <is>
          <t>Indian Ministry of Defence / Department of Military Affairs / Army</t>
        </is>
      </c>
      <c r="H146" s="20" t="inlineStr">
        <is>
          <t>Army / Land</t>
        </is>
      </c>
      <c r="I146" s="20" t="inlineStr">
        <is>
          <t>Sterlite Camotech</t>
        </is>
      </c>
      <c r="J146" s="20" t="inlineStr">
        <is>
          <t>Sterlite Camotech</t>
        </is>
      </c>
      <c r="K146" s="20" t="inlineStr">
        <is>
          <t>India</t>
        </is>
      </c>
      <c r="L146" s="20" t="inlineStr">
        <is>
          <t>Army camouflage-net procurement</t>
        </is>
      </c>
      <c r="M146" s="20" t="inlineStr">
        <is>
          <t>Nets / Covers</t>
        </is>
      </c>
      <c r="N146" s="20" t="inlineStr">
        <is>
          <t>2D multispectral camouflage nets</t>
        </is>
      </c>
      <c r="O146" s="20" t="inlineStr">
        <is>
          <t>Multispectral</t>
        </is>
      </c>
      <c r="P146" s="20" t="inlineStr">
        <is>
          <t>Contract Award</t>
        </is>
      </c>
      <c r="Q146" s="20" t="n"/>
      <c r="R146" s="20" t="inlineStr">
        <is>
          <t>Yes</t>
        </is>
      </c>
      <c r="S146" s="99" t="inlineStr">
        <is>
          <t>1622</t>
        </is>
      </c>
      <c r="T146" s="20" t="inlineStr">
        <is>
          <t>nets</t>
        </is>
      </c>
      <c r="U146" s="20" t="n"/>
      <c r="V146" s="100" t="inlineStr">
        <is>
          <t>211500000.0</t>
        </is>
      </c>
      <c r="W146" s="20" t="inlineStr">
        <is>
          <t>INR</t>
        </is>
      </c>
      <c r="X146" s="20" t="n"/>
      <c r="Y146" s="20" t="inlineStr">
        <is>
          <t>Obligated / signed if disclosed</t>
        </is>
      </c>
      <c r="Z146" s="20" t="inlineStr">
        <is>
          <t>No</t>
        </is>
      </c>
      <c r="AA146" s="20" t="inlineStr">
        <is>
          <t>Production Procurement</t>
        </is>
      </c>
      <c r="AB146" s="20" t="inlineStr">
        <is>
          <t>Land</t>
        </is>
      </c>
      <c r="AC146" s="20" t="inlineStr">
        <is>
          <t>Yes</t>
        </is>
      </c>
      <c r="AD146" s="20" t="n"/>
      <c r="AE146" s="20" t="inlineStr">
        <is>
          <t>https://www.worldtenders.in/ResultDetail/Resultinformation?resultId=oU+k3xupShC+Dvsbt7rasm2%2F2GWX8V6jLr5fZO2L6lI%3D&amp;tenderNo=T03JwlOVMAbMvWlD%2FJx70oAPu%2FCI9rPHpccGtDq1Mi4%3D&amp;tendertype=Live</t>
        </is>
      </c>
      <c r="AF146" s="20" t="inlineStr">
        <is>
          <t>Other credible third-party tender source</t>
        </is>
      </c>
      <c r="AG146" s="20" t="inlineStr">
        <is>
          <t>Secondary / aggregator</t>
        </is>
      </c>
      <c r="AH146" s="20" t="inlineStr">
        <is>
          <t>High</t>
        </is>
      </c>
      <c r="AI146" s="20" t="inlineStr">
        <is>
          <t>Award following the 2025 tender; count tender as demand milestone and this row as the commercial award.</t>
        </is>
      </c>
      <c r="AJ146" s="20" t="inlineStr">
        <is>
          <t>Yes</t>
        </is>
      </c>
      <c r="AK146" s="20" t="inlineStr">
        <is>
          <t>Yes</t>
        </is>
      </c>
      <c r="AL146" s="20" t="inlineStr">
        <is>
          <t>No</t>
        </is>
      </c>
      <c r="AM146" s="20" t="inlineStr">
        <is>
          <t>No</t>
        </is>
      </c>
      <c r="AN146" s="20" t="inlineStr">
        <is>
          <t>No</t>
        </is>
      </c>
      <c r="AO146" s="20" t="inlineStr">
        <is>
          <t>Yes</t>
        </is>
      </c>
      <c r="AP146" s="20" t="inlineStr">
        <is>
          <t>Included in Land core</t>
        </is>
      </c>
      <c r="AQ146" s="92" t="n">
        <v>1</v>
      </c>
      <c r="AR146" s="92" t="n">
        <v>1</v>
      </c>
      <c r="AS146" s="92" t="n">
        <v>1</v>
      </c>
      <c r="AT146" s="92" t="n">
        <v>1</v>
      </c>
      <c r="AU146" s="92" t="n">
        <v>1</v>
      </c>
      <c r="AV146" s="92" t="n">
        <v>0</v>
      </c>
      <c r="AW146" s="92" t="n">
        <v>0</v>
      </c>
    </row>
    <row r="147">
      <c r="A147" s="20" t="inlineStr">
        <is>
          <t>SM-0144</t>
        </is>
      </c>
      <c r="B147" s="20" t="inlineStr">
        <is>
          <t>NL-SAAB-MCS-2026</t>
        </is>
      </c>
      <c r="C147" s="98" t="inlineStr">
        <is>
          <t>2026-08-27</t>
        </is>
      </c>
      <c r="D147" s="92" t="n">
        <v>2026</v>
      </c>
      <c r="E147" s="20" t="inlineStr">
        <is>
          <t>Netherlands</t>
        </is>
      </c>
      <c r="F147" s="20" t="inlineStr">
        <is>
          <t>Netherlands Ministry of Defence</t>
        </is>
      </c>
      <c r="G147" s="20" t="inlineStr">
        <is>
          <t>Netherlands Ministry of Defence</t>
        </is>
      </c>
      <c r="H147" s="20" t="inlineStr">
        <is>
          <t>Army / Land</t>
        </is>
      </c>
      <c r="I147" s="20" t="inlineStr">
        <is>
          <t>Saab AB / Saab Barracuda AB</t>
        </is>
      </c>
      <c r="J147" s="20" t="inlineStr">
        <is>
          <t>Saab Barracuda</t>
        </is>
      </c>
      <c r="K147" s="20" t="inlineStr">
        <is>
          <t>Sweden</t>
        </is>
      </c>
      <c r="L147" s="20" t="inlineStr">
        <is>
          <t>Fennek / Panzerhaubitze</t>
        </is>
      </c>
      <c r="M147" s="20" t="inlineStr">
        <is>
          <t>Vehicle Camouflage System</t>
        </is>
      </c>
      <c r="N147" s="20" t="inlineStr">
        <is>
          <t>Mobile camouflage systems</t>
        </is>
      </c>
      <c r="O147" s="20" t="inlineStr">
        <is>
          <t>Multispectral</t>
        </is>
      </c>
      <c r="P147" s="20" t="inlineStr">
        <is>
          <t>Order</t>
        </is>
      </c>
      <c r="Q147" s="20" t="n"/>
      <c r="R147" s="20" t="inlineStr">
        <is>
          <t>Yes</t>
        </is>
      </c>
      <c r="S147" s="99" t="n"/>
      <c r="T147" s="20" t="inlineStr">
        <is>
          <t>Unknown</t>
        </is>
      </c>
      <c r="U147" s="20" t="n"/>
      <c r="V147" s="100" t="n"/>
      <c r="W147" s="20" t="n"/>
      <c r="X147" s="20" t="n"/>
      <c r="Y147" s="20" t="inlineStr">
        <is>
          <t>Obligated / signed if disclosed</t>
        </is>
      </c>
      <c r="Z147" s="20" t="inlineStr">
        <is>
          <t>No</t>
        </is>
      </c>
      <c r="AA147" s="20" t="inlineStr">
        <is>
          <t>Production Procurement</t>
        </is>
      </c>
      <c r="AB147" s="20" t="inlineStr">
        <is>
          <t>Land</t>
        </is>
      </c>
      <c r="AC147" s="20" t="inlineStr">
        <is>
          <t>Yes</t>
        </is>
      </c>
      <c r="AD147" s="20" t="n"/>
      <c r="AE147" s="20" t="inlineStr">
        <is>
          <t>https://www.saab.com/newsroom/press-releases/2026/saab-signs-long-term-agreement-for-camouflage-systems-with-the-netherlands</t>
        </is>
      </c>
      <c r="AF147" s="20" t="inlineStr">
        <is>
          <t>Official company announcement</t>
        </is>
      </c>
      <c r="AG147" s="20" t="inlineStr">
        <is>
          <t>Supplier / prime announcement</t>
        </is>
      </c>
      <c r="AH147" s="20" t="inlineStr">
        <is>
          <t>High</t>
        </is>
      </c>
      <c r="AI147" s="20" t="inlineStr">
        <is>
          <t>First call-off/order under the June 2026 Dutch agreement; do not count framework and order values twice if a value is later disclosed.</t>
        </is>
      </c>
      <c r="AJ147" s="20" t="inlineStr">
        <is>
          <t>Yes</t>
        </is>
      </c>
      <c r="AK147" s="20" t="inlineStr">
        <is>
          <t>No</t>
        </is>
      </c>
      <c r="AL147" s="20" t="inlineStr">
        <is>
          <t>No</t>
        </is>
      </c>
      <c r="AM147" s="20" t="inlineStr">
        <is>
          <t>No</t>
        </is>
      </c>
      <c r="AN147" s="20" t="inlineStr">
        <is>
          <t>No</t>
        </is>
      </c>
      <c r="AO147" s="20" t="inlineStr">
        <is>
          <t>Yes</t>
        </is>
      </c>
      <c r="AP147" s="20" t="inlineStr">
        <is>
          <t>Included in Land core</t>
        </is>
      </c>
      <c r="AQ147" s="92" t="n">
        <v>0</v>
      </c>
      <c r="AR147" s="92" t="n">
        <v>1</v>
      </c>
      <c r="AS147" s="92" t="n">
        <v>0</v>
      </c>
      <c r="AT147" s="92" t="n">
        <v>0</v>
      </c>
      <c r="AU147" s="92" t="n">
        <v>0</v>
      </c>
      <c r="AV147" s="92" t="n">
        <v>0</v>
      </c>
      <c r="AW147" s="92" t="n">
        <v>0</v>
      </c>
    </row>
    <row r="148">
      <c r="A148" s="20" t="n"/>
      <c r="B148" s="20" t="n"/>
      <c r="C148" s="98" t="n"/>
      <c r="D148" s="92" t="n"/>
      <c r="E148" s="20" t="n"/>
      <c r="F148" s="20" t="n"/>
      <c r="G148" s="20" t="n"/>
      <c r="H148" s="20" t="n"/>
      <c r="I148" s="20" t="n"/>
      <c r="J148" s="20" t="n"/>
      <c r="K148" s="20" t="n"/>
      <c r="L148" s="20" t="n"/>
      <c r="M148" s="20" t="n"/>
      <c r="N148" s="20" t="n"/>
      <c r="O148" s="20" t="n"/>
      <c r="P148" s="20" t="n"/>
      <c r="Q148" s="20" t="n"/>
      <c r="R148" s="20" t="n"/>
      <c r="S148" s="99" t="n"/>
      <c r="T148" s="20" t="n"/>
      <c r="U148" s="20" t="n"/>
      <c r="V148" s="100" t="n"/>
      <c r="W148" s="20" t="n"/>
      <c r="X148" s="20" t="n"/>
      <c r="Y148" s="20" t="n"/>
      <c r="Z148" s="20" t="n"/>
      <c r="AA148" s="20" t="n"/>
      <c r="AB148" s="20" t="n"/>
      <c r="AC148" s="20" t="n"/>
      <c r="AD148" s="20" t="n"/>
      <c r="AE148" s="20" t="n"/>
      <c r="AF148" s="20" t="n"/>
      <c r="AG148" s="20" t="n"/>
      <c r="AH148" s="20" t="n"/>
      <c r="AI148" s="20" t="n"/>
      <c r="AJ148" s="20" t="n"/>
      <c r="AK148" s="20" t="n"/>
      <c r="AL148" s="20" t="n"/>
      <c r="AM148" s="20" t="n"/>
      <c r="AN148" s="20" t="n"/>
      <c r="AO148" s="20" t="n"/>
      <c r="AP148" s="20" t="n"/>
      <c r="AQ148" s="92" t="n"/>
      <c r="AR148" s="92" t="n"/>
      <c r="AS148" s="92" t="n"/>
      <c r="AT148" s="92" t="n"/>
      <c r="AU148" s="92" t="n"/>
      <c r="AV148" s="92" t="n"/>
      <c r="AW148" s="92" t="n"/>
    </row>
    <row r="149">
      <c r="C149" s="101" t="n"/>
      <c r="D149" s="102" t="n"/>
      <c r="S149" s="103" t="n"/>
      <c r="V149" s="104" t="n"/>
    </row>
    <row r="150">
      <c r="C150" s="101" t="n"/>
      <c r="D150" s="102" t="n"/>
      <c r="S150" s="103" t="n"/>
      <c r="V150" s="104" t="n"/>
    </row>
    <row r="151">
      <c r="C151" s="101" t="n"/>
      <c r="D151" s="102" t="n"/>
      <c r="S151" s="103" t="n"/>
      <c r="V151" s="104" t="n"/>
    </row>
    <row r="152">
      <c r="C152" s="101" t="n"/>
      <c r="D152" s="102" t="n"/>
      <c r="S152" s="103" t="n"/>
      <c r="V152" s="104" t="n"/>
    </row>
    <row r="153">
      <c r="C153" s="101" t="n"/>
      <c r="D153" s="102" t="n"/>
      <c r="S153" s="103" t="n"/>
      <c r="V153" s="104" t="n"/>
    </row>
    <row r="154">
      <c r="C154" s="101" t="n"/>
      <c r="D154" s="102" t="n"/>
      <c r="S154" s="103" t="n"/>
      <c r="V154" s="104" t="n"/>
    </row>
    <row r="155">
      <c r="C155" s="101" t="n"/>
      <c r="D155" s="102" t="n"/>
      <c r="S155" s="103" t="n"/>
      <c r="V155" s="104" t="n"/>
    </row>
    <row r="156">
      <c r="C156" s="101" t="n"/>
      <c r="D156" s="102" t="n"/>
      <c r="S156" s="103" t="n"/>
      <c r="V156" s="104" t="n"/>
    </row>
    <row r="157">
      <c r="C157" s="101" t="n"/>
      <c r="D157" s="102" t="n"/>
      <c r="S157" s="103" t="n"/>
      <c r="V157" s="104" t="n"/>
    </row>
    <row r="158">
      <c r="C158" s="101" t="n"/>
      <c r="D158" s="102" t="n"/>
      <c r="S158" s="103" t="n"/>
      <c r="V158" s="104" t="n"/>
    </row>
    <row r="159">
      <c r="C159" s="101" t="n"/>
      <c r="D159" s="102" t="n"/>
      <c r="S159" s="103" t="n"/>
      <c r="V159" s="104" t="n"/>
    </row>
    <row r="160">
      <c r="C160" s="101" t="n"/>
      <c r="D160" s="102" t="n"/>
      <c r="S160" s="103" t="n"/>
      <c r="V160" s="104" t="n"/>
    </row>
    <row r="161">
      <c r="C161" s="101" t="n"/>
      <c r="D161" s="102" t="n"/>
      <c r="S161" s="103" t="n"/>
      <c r="V161" s="104" t="n"/>
    </row>
    <row r="162">
      <c r="C162" s="101" t="n"/>
      <c r="D162" s="102" t="n"/>
      <c r="S162" s="103" t="n"/>
      <c r="V162" s="104" t="n"/>
    </row>
    <row r="163">
      <c r="C163" s="101" t="n"/>
      <c r="D163" s="102" t="n"/>
      <c r="S163" s="103" t="n"/>
      <c r="V163" s="104" t="n"/>
    </row>
    <row r="164">
      <c r="C164" s="101" t="n"/>
      <c r="D164" s="102" t="n"/>
      <c r="S164" s="103" t="n"/>
      <c r="V164" s="104" t="n"/>
    </row>
    <row r="165">
      <c r="C165" s="101" t="n"/>
      <c r="D165" s="102" t="n"/>
      <c r="S165" s="103" t="n"/>
      <c r="V165" s="104" t="n"/>
    </row>
    <row r="166">
      <c r="C166" s="101" t="n"/>
      <c r="D166" s="102" t="n"/>
      <c r="S166" s="103" t="n"/>
      <c r="V166" s="104" t="n"/>
    </row>
    <row r="167">
      <c r="C167" s="101" t="n"/>
      <c r="D167" s="102" t="n"/>
      <c r="S167" s="103" t="n"/>
      <c r="V167" s="104" t="n"/>
    </row>
    <row r="168">
      <c r="C168" s="101" t="n"/>
      <c r="D168" s="102" t="n"/>
      <c r="S168" s="103" t="n"/>
      <c r="V168" s="104" t="n"/>
    </row>
    <row r="169">
      <c r="C169" s="101" t="n"/>
      <c r="D169" s="102" t="n"/>
      <c r="S169" s="103" t="n"/>
      <c r="V169" s="104" t="n"/>
    </row>
    <row r="170">
      <c r="C170" s="101" t="n"/>
      <c r="D170" s="102" t="n"/>
      <c r="S170" s="103" t="n"/>
      <c r="V170" s="104" t="n"/>
    </row>
    <row r="171">
      <c r="C171" s="101" t="n"/>
      <c r="D171" s="102" t="n"/>
      <c r="S171" s="103" t="n"/>
      <c r="V171" s="104" t="n"/>
    </row>
    <row r="172">
      <c r="C172" s="101" t="n"/>
      <c r="D172" s="102" t="n"/>
      <c r="S172" s="103" t="n"/>
      <c r="V172" s="104" t="n"/>
    </row>
    <row r="173">
      <c r="C173" s="101" t="n"/>
      <c r="D173" s="102" t="n"/>
      <c r="S173" s="103" t="n"/>
      <c r="V173" s="104" t="n"/>
    </row>
    <row r="174">
      <c r="C174" s="101" t="n"/>
      <c r="D174" s="102" t="n"/>
      <c r="S174" s="103" t="n"/>
      <c r="V174" s="104" t="n"/>
    </row>
    <row r="175">
      <c r="C175" s="101" t="n"/>
      <c r="D175" s="102" t="n"/>
      <c r="S175" s="103" t="n"/>
      <c r="V175" s="104" t="n"/>
    </row>
    <row r="176">
      <c r="C176" s="101" t="n"/>
      <c r="D176" s="102" t="n"/>
      <c r="S176" s="103" t="n"/>
      <c r="V176" s="104" t="n"/>
    </row>
    <row r="177">
      <c r="C177" s="101" t="n"/>
      <c r="D177" s="102" t="n"/>
      <c r="S177" s="103" t="n"/>
      <c r="V177" s="104" t="n"/>
    </row>
    <row r="178">
      <c r="C178" s="101" t="n"/>
      <c r="D178" s="102" t="n"/>
      <c r="S178" s="103" t="n"/>
      <c r="V178" s="104" t="n"/>
    </row>
    <row r="179">
      <c r="C179" s="101" t="n"/>
      <c r="D179" s="102" t="n"/>
      <c r="S179" s="103" t="n"/>
      <c r="V179" s="104" t="n"/>
    </row>
    <row r="180">
      <c r="C180" s="101" t="n"/>
      <c r="D180" s="102" t="n"/>
      <c r="S180" s="103" t="n"/>
      <c r="V180" s="104" t="n"/>
    </row>
    <row r="181">
      <c r="C181" s="101" t="n"/>
      <c r="D181" s="102" t="n"/>
      <c r="S181" s="103" t="n"/>
      <c r="V181" s="104" t="n"/>
    </row>
    <row r="182">
      <c r="C182" s="101" t="n"/>
      <c r="D182" s="102" t="n"/>
      <c r="S182" s="103" t="n"/>
      <c r="V182" s="104" t="n"/>
    </row>
    <row r="183">
      <c r="C183" s="101" t="n"/>
      <c r="D183" s="102" t="n"/>
      <c r="S183" s="103" t="n"/>
      <c r="V183" s="104" t="n"/>
    </row>
    <row r="184">
      <c r="C184" s="101" t="n"/>
      <c r="D184" s="102" t="n"/>
      <c r="S184" s="103" t="n"/>
      <c r="V184" s="104" t="n"/>
    </row>
    <row r="185">
      <c r="C185" s="101" t="n"/>
      <c r="D185" s="102" t="n"/>
      <c r="S185" s="103" t="n"/>
      <c r="V185" s="104" t="n"/>
    </row>
    <row r="186">
      <c r="C186" s="101" t="n"/>
      <c r="D186" s="102" t="n"/>
      <c r="S186" s="103" t="n"/>
      <c r="V186" s="104" t="n"/>
    </row>
    <row r="187">
      <c r="C187" s="101" t="n"/>
      <c r="D187" s="102" t="n"/>
      <c r="S187" s="103" t="n"/>
      <c r="V187" s="104" t="n"/>
    </row>
    <row r="188">
      <c r="C188" s="101" t="n"/>
      <c r="D188" s="102" t="n"/>
      <c r="S188" s="103" t="n"/>
      <c r="V188" s="104" t="n"/>
    </row>
    <row r="189">
      <c r="C189" s="101" t="n"/>
      <c r="D189" s="102" t="n"/>
      <c r="S189" s="103" t="n"/>
      <c r="V189" s="104" t="n"/>
    </row>
    <row r="190">
      <c r="C190" s="101" t="n"/>
      <c r="D190" s="102" t="n"/>
      <c r="S190" s="103" t="n"/>
      <c r="V190" s="104" t="n"/>
    </row>
    <row r="191">
      <c r="C191" s="101" t="n"/>
      <c r="D191" s="102" t="n"/>
      <c r="S191" s="103" t="n"/>
      <c r="V191" s="104" t="n"/>
    </row>
    <row r="192">
      <c r="C192" s="101" t="n"/>
      <c r="D192" s="102" t="n"/>
      <c r="S192" s="103" t="n"/>
      <c r="V192" s="104" t="n"/>
    </row>
    <row r="193">
      <c r="C193" s="101" t="n"/>
      <c r="D193" s="102" t="n"/>
      <c r="S193" s="103" t="n"/>
      <c r="V193" s="104" t="n"/>
    </row>
    <row r="194">
      <c r="C194" s="101" t="n"/>
      <c r="D194" s="102" t="n"/>
      <c r="S194" s="103" t="n"/>
      <c r="V194" s="104" t="n"/>
    </row>
    <row r="195">
      <c r="C195" s="101" t="n"/>
      <c r="D195" s="102" t="n"/>
      <c r="S195" s="103" t="n"/>
      <c r="V195" s="104" t="n"/>
    </row>
    <row r="196">
      <c r="C196" s="101" t="n"/>
      <c r="D196" s="102" t="n"/>
      <c r="S196" s="103" t="n"/>
      <c r="V196" s="104" t="n"/>
    </row>
    <row r="197">
      <c r="C197" s="101" t="n"/>
      <c r="D197" s="102" t="n"/>
      <c r="S197" s="103" t="n"/>
      <c r="V197" s="104" t="n"/>
    </row>
    <row r="198">
      <c r="C198" s="101" t="n"/>
      <c r="D198" s="102" t="n"/>
      <c r="S198" s="103" t="n"/>
      <c r="V198" s="104" t="n"/>
    </row>
    <row r="199">
      <c r="C199" s="101" t="n"/>
      <c r="D199" s="102" t="n"/>
      <c r="S199" s="103" t="n"/>
      <c r="V199" s="104" t="n"/>
    </row>
    <row r="200">
      <c r="C200" s="101" t="n"/>
      <c r="D200" s="102" t="n"/>
      <c r="S200" s="103" t="n"/>
      <c r="V200" s="104" t="n"/>
    </row>
  </sheetData>
  <mergeCells count="2">
    <mergeCell ref="A1:AW1"/>
    <mergeCell ref="A2:AW2"/>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50"/>
  <sheetViews>
    <sheetView showGridLines="0" workbookViewId="0">
      <pane xSplit="1" ySplit="4" topLeftCell="B5" activePane="bottomRight" state="frozen"/>
      <selection activeCell="A1" sqref="A1"/>
    </sheetView>
  </sheetViews>
  <sheetFormatPr baseColWidth="8" defaultRowHeight="15"/>
  <cols>
    <col width="30" customWidth="1" min="1" max="1"/>
    <col width="11" customWidth="1" min="2" max="2"/>
    <col width="11" customWidth="1" min="3" max="3"/>
    <col width="28" customWidth="1" min="4" max="4"/>
    <col width="28" customWidth="1" min="5" max="5"/>
    <col width="28" customWidth="1" min="6" max="6"/>
    <col width="28"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2" customWidth="1" min="16" max="16"/>
  </cols>
  <sheetData>
    <row r="1" ht="30" customHeight="1">
      <c r="A1" s="37" t="inlineStr">
        <is>
          <t>Final Programme / Procurement Families</t>
        </is>
      </c>
    </row>
    <row r="2" ht="32" customHeight="1">
      <c r="A2" s="6" t="inlineStr">
        <is>
          <t>34 land-core families; 45 families across all retained core and contextual evidence. Family IDs follow procurement chains, not publications.</t>
        </is>
      </c>
    </row>
    <row r="4" ht="28" customHeight="1">
      <c r="A4" s="39" t="inlineStr">
        <is>
          <t>Programme / Procurement Family ID</t>
        </is>
      </c>
      <c r="B4" s="39" t="inlineStr">
        <is>
          <t>First Year</t>
        </is>
      </c>
      <c r="C4" s="39" t="inlineStr">
        <is>
          <t>Last Year</t>
        </is>
      </c>
      <c r="D4" s="39" t="inlineStr">
        <is>
          <t>Country / Countries</t>
        </is>
      </c>
      <c r="E4" s="39" t="inlineStr">
        <is>
          <t>Canonical Buyer(s)</t>
        </is>
      </c>
      <c r="F4" s="39" t="inlineStr">
        <is>
          <t>Canonical Supplier(s)</t>
        </is>
      </c>
      <c r="G4" s="39" t="inlineStr">
        <is>
          <t>Programme / Requirement</t>
        </is>
      </c>
      <c r="H4" s="39" t="inlineStr">
        <is>
          <t>Retained Events</t>
        </is>
      </c>
      <c r="I4" s="39" t="inlineStr">
        <is>
          <t>Core Events</t>
        </is>
      </c>
      <c r="J4" s="39" t="inlineStr">
        <is>
          <t>Actual Orders</t>
        </is>
      </c>
      <c r="K4" s="39" t="inlineStr">
        <is>
          <t>Disclosed Actual Quantity</t>
        </is>
      </c>
      <c r="L4" s="39" t="inlineStr">
        <is>
          <t>Quantity Unit(s)</t>
        </is>
      </c>
      <c r="M4" s="39" t="inlineStr">
        <is>
          <t>Currency / Currencies</t>
        </is>
      </c>
      <c r="N4" s="39" t="inlineStr">
        <is>
          <t>Development / Validation Events</t>
        </is>
      </c>
      <c r="O4" s="39" t="inlineStr">
        <is>
          <t>Core Family?</t>
        </is>
      </c>
      <c r="P4" s="52" t="inlineStr">
        <is>
          <t>Event IDs</t>
        </is>
      </c>
    </row>
    <row r="5">
      <c r="A5" s="20" t="inlineStr">
        <is>
          <t>AMD-CHAMEM</t>
        </is>
      </c>
      <c r="B5" s="92" t="n">
        <v>2020</v>
      </c>
      <c r="C5" s="92" t="n">
        <v>2022</v>
      </c>
      <c r="D5" s="20" t="inlineStr">
        <is>
          <t>United Kingdom; United States</t>
        </is>
      </c>
      <c r="E5" s="20" t="inlineStr">
        <is>
          <t>Dstl Weapons Sector Research Framework; U.S. OSD Foreign Comparative Testing</t>
        </is>
      </c>
      <c r="F5" s="20" t="inlineStr">
        <is>
          <t>Advanced Material Development (AMD)</t>
        </is>
      </c>
      <c r="G5" s="20" t="inlineStr">
        <is>
          <t>ChamEM; ChamEM FCT</t>
        </is>
      </c>
      <c r="H5" s="105" t="n">
        <v>2</v>
      </c>
      <c r="I5" s="105" t="n">
        <v>2</v>
      </c>
      <c r="J5" s="105" t="n">
        <v>0</v>
      </c>
      <c r="K5" s="105" t="n"/>
      <c r="L5" s="20" t="str"/>
      <c r="M5" s="20" t="str"/>
      <c r="N5" s="20" t="n">
        <v>2</v>
      </c>
      <c r="O5" s="20" t="inlineStr">
        <is>
          <t>Yes</t>
        </is>
      </c>
      <c r="P5" s="19" t="inlineStr">
        <is>
          <t>SM-0015, SM-0042</t>
        </is>
      </c>
    </row>
    <row r="6">
      <c r="A6" s="20" t="inlineStr">
        <is>
          <t>PL-WISLA-CAMO</t>
        </is>
      </c>
      <c r="B6" s="92" t="n">
        <v>2020</v>
      </c>
      <c r="C6" s="92" t="n">
        <v>2022</v>
      </c>
      <c r="D6" s="20" t="inlineStr">
        <is>
          <t>Poland</t>
        </is>
      </c>
      <c r="E6" s="20" t="inlineStr">
        <is>
          <t>Polish Armament Agency / predecessor Armament Inspectorate</t>
        </is>
      </c>
      <c r="F6" s="20" t="inlineStr">
        <is>
          <t>Miranda Textiles</t>
        </is>
      </c>
      <c r="G6" s="20" t="inlineStr">
        <is>
          <t>WISŁA Phase 1 — Patriot air and missile defence; WISŁA Phase 1 — two Patriot air and missile defence batteries</t>
        </is>
      </c>
      <c r="H6" s="105" t="n">
        <v>3</v>
      </c>
      <c r="I6" s="105" t="n">
        <v>3</v>
      </c>
      <c r="J6" s="105" t="n">
        <v>2</v>
      </c>
      <c r="K6" s="105" t="n"/>
      <c r="L6" s="20" t="str"/>
      <c r="M6" s="20" t="inlineStr">
        <is>
          <t>PLN</t>
        </is>
      </c>
      <c r="N6" s="20" t="n">
        <v>0</v>
      </c>
      <c r="O6" s="20" t="inlineStr">
        <is>
          <t>Yes</t>
        </is>
      </c>
      <c r="P6" s="19" t="inlineStr">
        <is>
          <t>SM-0018, SM-0022, SM-0035</t>
        </is>
      </c>
    </row>
    <row r="7">
      <c r="A7" s="20" t="inlineStr">
        <is>
          <t>SE-FMV-MSN-2020</t>
        </is>
      </c>
      <c r="B7" s="92" t="n">
        <v>2020</v>
      </c>
      <c r="C7" s="92" t="n">
        <v>2020</v>
      </c>
      <c r="D7" s="20" t="inlineStr">
        <is>
          <t>Sweden</t>
        </is>
      </c>
      <c r="E7" s="20" t="inlineStr">
        <is>
          <t>Swedish FMV</t>
        </is>
      </c>
      <c r="F7" s="20" t="inlineStr">
        <is>
          <t>Saab Barracuda</t>
        </is>
      </c>
      <c r="G7" s="20" t="inlineStr">
        <is>
          <t>UH-2020-256 — Multispektrala Maskeringsnät; UH-2020-256 / Multispektrala Maskeringsnät</t>
        </is>
      </c>
      <c r="H7" s="105" t="n">
        <v>2</v>
      </c>
      <c r="I7" s="105" t="n">
        <v>2</v>
      </c>
      <c r="J7" s="105" t="n">
        <v>1</v>
      </c>
      <c r="K7" s="105" t="n"/>
      <c r="L7" s="20" t="str"/>
      <c r="M7" s="20" t="inlineStr">
        <is>
          <t>SEK</t>
        </is>
      </c>
      <c r="N7" s="20" t="n">
        <v>0</v>
      </c>
      <c r="O7" s="20" t="inlineStr">
        <is>
          <t>Yes</t>
        </is>
      </c>
      <c r="P7" s="19" t="inlineStr">
        <is>
          <t>SM-0008, SM-0013</t>
        </is>
      </c>
    </row>
    <row r="8">
      <c r="A8" s="20" t="inlineStr">
        <is>
          <t>ULCANS-IDV-W911QY18D0210</t>
        </is>
      </c>
      <c r="B8" s="92" t="n">
        <v>2020</v>
      </c>
      <c r="C8" s="92" t="n">
        <v>2026</v>
      </c>
      <c r="D8" s="20" t="inlineStr">
        <is>
          <t>United States</t>
        </is>
      </c>
      <c r="E8" s="20" t="inlineStr">
        <is>
          <t>Multiple armed forces; U.S. Army</t>
        </is>
      </c>
      <c r="F8" s="20" t="inlineStr">
        <is>
          <t>Fibrotex</t>
        </is>
      </c>
      <c r="G8" s="20" t="inlineStr">
        <is>
          <t>W911QY20F0114 — ULCANS delivery order under W911QY18D0210; W911QY20F0174 — ULCANS delivery order under W911QY18D0210; W911QY20F0175 — ULCANS delivery order under W911QY18D0210; W911QY20F0273 — ULCANS delivery order under W911QY18D0210; W911QY20F0463 — ULCANS delivery order under W911QY18D0210; W911QY20F0459 — ULCANS delivery order under W911QY18D0210; W911QY20F0514 — ULCANS delivery order under W911QY18D0210; W911QY20F0510 — ULCANS delivery order under W911QY18D0210; W911QY20F0521 — ULCANS delivery order under W911QY18D0210; W911QY20F0568 — ULCANS delivery order under W911QY18D0210; W911QY21F0428 — ULCANS delivery order under W911QY18D0210; W911QY21F0459 — ULCANS delivery order under W911QY18D0210; W911QY21F0100 — Production Units Woodland Type I; W911QY21F0158 — Mobile Camouflage System design/development; W911QY21F0292 — Production Units Woodland Type II; W911QY21F0399 — LRIP Desert/Urban Type I; W911QY21F0469 — Field Expedient Camo Kit Class 3; W911QY21F0471 — LRIP Desert/Urban Type</t>
        </is>
      </c>
      <c r="H8" s="105" t="n">
        <v>39</v>
      </c>
      <c r="I8" s="105" t="n">
        <v>39</v>
      </c>
      <c r="J8" s="105" t="n">
        <v>33</v>
      </c>
      <c r="K8" s="105" t="n"/>
      <c r="L8" s="20" t="str"/>
      <c r="M8" s="20" t="inlineStr">
        <is>
          <t>USD</t>
        </is>
      </c>
      <c r="N8" s="20" t="n">
        <v>5</v>
      </c>
      <c r="O8" s="20" t="inlineStr">
        <is>
          <t>Yes</t>
        </is>
      </c>
      <c r="P8" s="19" t="inlineStr">
        <is>
          <t>SM-0001, SM-0003, SM-0004, SM-0005, SM-0006, SM-0007, SM-0009, SM-0010, SM-0011, SM-0012, SM-0014, SM-0016, SM-0017, SM-0019, SM-0020, SM-0023, SM-0024, SM-0025, SM-0026, SM-0036, SM-0039, SM-0040, SM-0041, SM-0049, SM-0053, SM-0057, SM-0065, SM-0066, SM-0072, SM-0074, SM-0103, SM-0108, SM-0118, SM-0119, SM-0128, SM-0130, SM-0133, SM-0135, SM-0136</t>
        </is>
      </c>
    </row>
    <row r="9">
      <c r="A9" s="20" t="inlineStr">
        <is>
          <t>AWE-TACTICAM-2021</t>
        </is>
      </c>
      <c r="B9" s="92" t="n">
        <v>2021</v>
      </c>
      <c r="C9" s="92" t="n">
        <v>2021</v>
      </c>
      <c r="D9" s="20" t="inlineStr">
        <is>
          <t>United States</t>
        </is>
      </c>
      <c r="E9" s="20" t="inlineStr">
        <is>
          <t>U.S. Army</t>
        </is>
      </c>
      <c r="F9" s="20" t="inlineStr">
        <is>
          <t>ArmorWorks Enterprises</t>
        </is>
      </c>
      <c r="G9" s="20" t="inlineStr">
        <is>
          <t>TactiCam study</t>
        </is>
      </c>
      <c r="H9" s="105" t="n">
        <v>1</v>
      </c>
      <c r="I9" s="105" t="n">
        <v>1</v>
      </c>
      <c r="J9" s="105" t="n">
        <v>0</v>
      </c>
      <c r="K9" s="105" t="n"/>
      <c r="L9" s="20" t="str"/>
      <c r="M9" s="20" t="str"/>
      <c r="N9" s="20" t="n">
        <v>1</v>
      </c>
      <c r="O9" s="20" t="inlineStr">
        <is>
          <t>Yes</t>
        </is>
      </c>
      <c r="P9" s="19" t="inlineStr">
        <is>
          <t>SM-0021</t>
        </is>
      </c>
    </row>
    <row r="10">
      <c r="A10" s="20" t="inlineStr">
        <is>
          <t>AU-LAND8116-MCS</t>
        </is>
      </c>
      <c r="B10" s="92" t="n">
        <v>2022</v>
      </c>
      <c r="C10" s="92" t="n">
        <v>2026</v>
      </c>
      <c r="D10" s="20" t="inlineStr">
        <is>
          <t>Australia</t>
        </is>
      </c>
      <c r="E10" s="20" t="inlineStr">
        <is>
          <t>Hanwha Defence Australia / Australian Army</t>
        </is>
      </c>
      <c r="F10" s="20" t="inlineStr">
        <is>
          <t>CBG Systems</t>
        </is>
      </c>
      <c r="G10" s="20" t="inlineStr">
        <is>
          <t>LAND 8116</t>
        </is>
      </c>
      <c r="H10" s="105" t="n">
        <v>2</v>
      </c>
      <c r="I10" s="105" t="n">
        <v>2</v>
      </c>
      <c r="J10" s="105" t="n">
        <v>1</v>
      </c>
      <c r="K10" s="105" t="n">
        <v>14</v>
      </c>
      <c r="L10" s="20" t="inlineStr">
        <is>
          <t>units</t>
        </is>
      </c>
      <c r="M10" s="20" t="inlineStr">
        <is>
          <t>Unknown</t>
        </is>
      </c>
      <c r="N10" s="20" t="n">
        <v>0</v>
      </c>
      <c r="O10" s="20" t="inlineStr">
        <is>
          <t>Yes</t>
        </is>
      </c>
      <c r="P10" s="19" t="inlineStr">
        <is>
          <t>SM-0037, SM-0127</t>
        </is>
      </c>
    </row>
    <row r="11">
      <c r="A11" s="20" t="inlineStr">
        <is>
          <t>FR-FENRIR</t>
        </is>
      </c>
      <c r="B11" s="92" t="n">
        <v>2022</v>
      </c>
      <c r="C11" s="92" t="n">
        <v>2024</v>
      </c>
      <c r="D11" s="20" t="inlineStr">
        <is>
          <t>France</t>
        </is>
      </c>
      <c r="E11" s="20" t="inlineStr">
        <is>
          <t>French DGA</t>
        </is>
      </c>
      <c r="F11" s="20" t="inlineStr">
        <is>
          <t>Saab Barracuda</t>
        </is>
      </c>
      <c r="G11" s="20" t="inlineStr">
        <is>
          <t>FENRIR — French Army command posts, vehicles, weapons and sensors; FENRIR (Filet écran radar-IR) — French Army and Air &amp; Space Force command posts, vehicles, weapons</t>
        </is>
      </c>
      <c r="H11" s="105" t="n">
        <v>2</v>
      </c>
      <c r="I11" s="105" t="n">
        <v>2</v>
      </c>
      <c r="J11" s="105" t="n">
        <v>1</v>
      </c>
      <c r="K11" s="105" t="n">
        <v>3000</v>
      </c>
      <c r="L11" s="20" t="inlineStr">
        <is>
          <t>nets</t>
        </is>
      </c>
      <c r="M11" s="20" t="inlineStr">
        <is>
          <t>EUR</t>
        </is>
      </c>
      <c r="N11" s="20" t="n">
        <v>0</v>
      </c>
      <c r="O11" s="20" t="inlineStr">
        <is>
          <t>Yes</t>
        </is>
      </c>
      <c r="P11" s="19" t="inlineStr">
        <is>
          <t>SM-0034, SM-0058</t>
        </is>
      </c>
    </row>
    <row r="12">
      <c r="A12" s="20" t="inlineStr">
        <is>
          <t>AME-CNELS-XHANGAR-2023-25</t>
        </is>
      </c>
      <c r="B12" s="92" t="n">
        <v>2023</v>
      </c>
      <c r="C12" s="92" t="n">
        <v>2025</v>
      </c>
      <c r="D12" s="20" t="inlineStr">
        <is>
          <t>United States</t>
        </is>
      </c>
      <c r="E12" s="20" t="inlineStr">
        <is>
          <t>U.S. NRL / ONR</t>
        </is>
      </c>
      <c r="F12" s="20" t="inlineStr">
        <is>
          <t>Ametrine Technologies</t>
        </is>
      </c>
      <c r="G12" s="20" t="inlineStr">
        <is>
          <t>CNELS / field test; X-Hangar / CNELS; X-Hangar test support; Third-generation X-Hangar; N0017325RDH03 — CNELS / third-generation X-Hangar; Camouflage Netting &amp; Expeditionary Lifting Structures / X-Hangar</t>
        </is>
      </c>
      <c r="H12" s="105" t="n">
        <v>6</v>
      </c>
      <c r="I12" s="105" t="n">
        <v>6</v>
      </c>
      <c r="J12" s="105" t="n">
        <v>1</v>
      </c>
      <c r="K12" s="105" t="n"/>
      <c r="L12" s="20" t="str"/>
      <c r="M12" s="20" t="inlineStr">
        <is>
          <t>USD</t>
        </is>
      </c>
      <c r="N12" s="20" t="n">
        <v>3</v>
      </c>
      <c r="O12" s="20" t="inlineStr">
        <is>
          <t>Yes</t>
        </is>
      </c>
      <c r="P12" s="19" t="inlineStr">
        <is>
          <t>SM-0047, SM-0063, SM-0064, SM-0084, SM-0107, SM-0111</t>
        </is>
      </c>
    </row>
    <row r="13">
      <c r="A13" s="20" t="inlineStr">
        <is>
          <t>NO-SAAB-MCS-4600002386</t>
        </is>
      </c>
      <c r="B13" s="92" t="n">
        <v>2023</v>
      </c>
      <c r="C13" s="92" t="n">
        <v>2024</v>
      </c>
      <c r="D13" s="20" t="inlineStr">
        <is>
          <t>Norway</t>
        </is>
      </c>
      <c r="E13" s="20" t="inlineStr">
        <is>
          <t>Norwegian FMA</t>
        </is>
      </c>
      <c r="F13" s="20" t="inlineStr">
        <is>
          <t>Saab Barracuda</t>
        </is>
      </c>
      <c r="G13" s="20" t="inlineStr">
        <is>
          <t>Framework 4600002386 / IO 4502428546; P1092; Framework 4600002386 / PO 4502447296; P5049/P5430; Framework 4600002386 / contract 4502439616; P5475-76; Framework 4600002386 / contract 4502510397; P5475-76; Framework 4600002386 / PO 4502549898</t>
        </is>
      </c>
      <c r="H13" s="105" t="n">
        <v>5</v>
      </c>
      <c r="I13" s="105" t="n">
        <v>5</v>
      </c>
      <c r="J13" s="105" t="n">
        <v>5</v>
      </c>
      <c r="K13" s="105" t="n"/>
      <c r="L13" s="20" t="str"/>
      <c r="M13" s="20" t="str"/>
      <c r="N13" s="20" t="n">
        <v>0</v>
      </c>
      <c r="O13" s="20" t="inlineStr">
        <is>
          <t>Yes</t>
        </is>
      </c>
      <c r="P13" s="19" t="inlineStr">
        <is>
          <t>SM-0051, SM-0055, SM-0060, SM-0061, SM-0070</t>
        </is>
      </c>
    </row>
    <row r="14">
      <c r="A14" s="20" t="inlineStr">
        <is>
          <t>PL-BERBERYS-2023</t>
        </is>
      </c>
      <c r="B14" s="92" t="n">
        <v>2023</v>
      </c>
      <c r="C14" s="92" t="n">
        <v>2023</v>
      </c>
      <c r="D14" s="20" t="inlineStr">
        <is>
          <t>Poland</t>
        </is>
      </c>
      <c r="E14" s="20" t="inlineStr">
        <is>
          <t>Armament Agency (Agencja Uzbrojenia) / Polish MoD</t>
        </is>
      </c>
      <c r="F14" s="20" t="inlineStr">
        <is>
          <t>Miranda Textiles</t>
        </is>
      </c>
      <c r="G14" s="20" t="inlineStr">
        <is>
          <t>Polish Armed Forces platform camouflage — BERBERYS</t>
        </is>
      </c>
      <c r="H14" s="105" t="n">
        <v>1</v>
      </c>
      <c r="I14" s="105" t="n">
        <v>1</v>
      </c>
      <c r="J14" s="105" t="n">
        <v>1</v>
      </c>
      <c r="K14" s="105" t="n">
        <v>1000</v>
      </c>
      <c r="L14" s="20" t="inlineStr">
        <is>
          <t>covers</t>
        </is>
      </c>
      <c r="M14" s="20" t="inlineStr">
        <is>
          <t>PLN</t>
        </is>
      </c>
      <c r="N14" s="20" t="n">
        <v>0</v>
      </c>
      <c r="O14" s="20" t="inlineStr">
        <is>
          <t>Yes</t>
        </is>
      </c>
      <c r="P14" s="19" t="inlineStr">
        <is>
          <t>SM-0048</t>
        </is>
      </c>
    </row>
    <row r="15">
      <c r="A15" s="20" t="inlineStr">
        <is>
          <t>SE-FMV-MCS-2023</t>
        </is>
      </c>
      <c r="B15" s="92" t="n">
        <v>2023</v>
      </c>
      <c r="C15" s="92" t="n">
        <v>2023</v>
      </c>
      <c r="D15" s="20" t="inlineStr">
        <is>
          <t>Sweden</t>
        </is>
      </c>
      <c r="E15" s="20" t="inlineStr">
        <is>
          <t>Swedish FMV</t>
        </is>
      </c>
      <c r="F15" s="20" t="inlineStr">
        <is>
          <t>Saab Barracuda</t>
        </is>
      </c>
      <c r="G15" s="20" t="inlineStr">
        <is>
          <t>Object-bound camouflage framework</t>
        </is>
      </c>
      <c r="H15" s="105" t="n">
        <v>1</v>
      </c>
      <c r="I15" s="105" t="n">
        <v>1</v>
      </c>
      <c r="J15" s="105" t="n">
        <v>0</v>
      </c>
      <c r="K15" s="105" t="n"/>
      <c r="L15" s="20" t="str"/>
      <c r="M15" s="20" t="str"/>
      <c r="N15" s="20" t="n">
        <v>0</v>
      </c>
      <c r="O15" s="20" t="inlineStr">
        <is>
          <t>Yes</t>
        </is>
      </c>
      <c r="P15" s="19" t="inlineStr">
        <is>
          <t>SM-0050</t>
        </is>
      </c>
    </row>
    <row r="16">
      <c r="A16" s="20" t="inlineStr">
        <is>
          <t>AU-LAND400-P3-MCS</t>
        </is>
      </c>
      <c r="B16" s="92" t="n">
        <v>2024</v>
      </c>
      <c r="C16" s="92" t="n">
        <v>2024</v>
      </c>
      <c r="D16" s="20" t="inlineStr">
        <is>
          <t>Australia</t>
        </is>
      </c>
      <c r="E16" s="20" t="inlineStr">
        <is>
          <t>Hanwha Defence Australia / Australian Army</t>
        </is>
      </c>
      <c r="F16" s="20" t="inlineStr">
        <is>
          <t>CBG Systems</t>
        </is>
      </c>
      <c r="G16" s="20" t="inlineStr">
        <is>
          <t>LAND 400 Phase 3</t>
        </is>
      </c>
      <c r="H16" s="105" t="n">
        <v>1</v>
      </c>
      <c r="I16" s="105" t="n">
        <v>1</v>
      </c>
      <c r="J16" s="105" t="n">
        <v>1</v>
      </c>
      <c r="K16" s="105" t="n">
        <v>129</v>
      </c>
      <c r="L16" s="20" t="inlineStr">
        <is>
          <t>units</t>
        </is>
      </c>
      <c r="M16" s="20" t="inlineStr">
        <is>
          <t>Unknown</t>
        </is>
      </c>
      <c r="N16" s="20" t="n">
        <v>0</v>
      </c>
      <c r="O16" s="20" t="inlineStr">
        <is>
          <t>Yes</t>
        </is>
      </c>
      <c r="P16" s="19" t="inlineStr">
        <is>
          <t>SM-0068</t>
        </is>
      </c>
    </row>
    <row r="17">
      <c r="A17" s="20" t="inlineStr">
        <is>
          <t>BE-SEYNTEX-SIOEN-2024-25</t>
        </is>
      </c>
      <c r="B17" s="92" t="n">
        <v>2024</v>
      </c>
      <c r="C17" s="92" t="n">
        <v>2025</v>
      </c>
      <c r="D17" s="20" t="inlineStr">
        <is>
          <t>Belgium</t>
        </is>
      </c>
      <c r="E17" s="20" t="inlineStr">
        <is>
          <t>Belgian Ministry of Defence</t>
        </is>
      </c>
      <c r="F17" s="20" t="inlineStr">
        <is>
          <t>Seyntex</t>
        </is>
      </c>
      <c r="G17" s="20" t="inlineStr">
        <is>
          <t>Multispectral camouflage nets framework; 24LA102</t>
        </is>
      </c>
      <c r="H17" s="105" t="n">
        <v>2</v>
      </c>
      <c r="I17" s="105" t="n">
        <v>2</v>
      </c>
      <c r="J17" s="105" t="n">
        <v>0</v>
      </c>
      <c r="K17" s="105" t="n"/>
      <c r="L17" s="20" t="str"/>
      <c r="M17" s="20" t="str"/>
      <c r="N17" s="20" t="n">
        <v>0</v>
      </c>
      <c r="O17" s="20" t="inlineStr">
        <is>
          <t>Yes</t>
        </is>
      </c>
      <c r="P17" s="19" t="inlineStr">
        <is>
          <t>SM-0076, SM-0115</t>
        </is>
      </c>
    </row>
    <row r="18">
      <c r="A18" s="20" t="inlineStr">
        <is>
          <t>DE-SMT-2024-25</t>
        </is>
      </c>
      <c r="B18" s="92" t="n">
        <v>2024</v>
      </c>
      <c r="C18" s="92" t="n">
        <v>2025</v>
      </c>
      <c r="D18" s="20" t="inlineStr">
        <is>
          <t>Germany</t>
        </is>
      </c>
      <c r="E18" s="20" t="inlineStr">
        <is>
          <t>BAAINBw / Bundeswehr</t>
        </is>
      </c>
      <c r="F18" s="20" t="inlineStr">
        <is>
          <t>Sioen Industries</t>
        </is>
      </c>
      <c r="G18" s="20" t="inlineStr">
        <is>
          <t>Stationäre multispektrale Tarnausstattung (SMT); Stationäre multispektrale Tarnausstattung (SMT) — initial call-off</t>
        </is>
      </c>
      <c r="H18" s="105" t="n">
        <v>4</v>
      </c>
      <c r="I18" s="105" t="n">
        <v>4</v>
      </c>
      <c r="J18" s="105" t="n">
        <v>1</v>
      </c>
      <c r="K18" s="105" t="n"/>
      <c r="L18" s="20" t="str"/>
      <c r="M18" s="20" t="inlineStr">
        <is>
          <t>EUR</t>
        </is>
      </c>
      <c r="N18" s="20" t="n">
        <v>0</v>
      </c>
      <c r="O18" s="20" t="inlineStr">
        <is>
          <t>Yes</t>
        </is>
      </c>
      <c r="P18" s="19" t="inlineStr">
        <is>
          <t>SM-0067, SM-0116, SM-0117, SM-0114</t>
        </is>
      </c>
    </row>
    <row r="19">
      <c r="A19" s="20" t="inlineStr">
        <is>
          <t>DEC-W911NF2490001</t>
        </is>
      </c>
      <c r="B19" s="92" t="n">
        <v>2024</v>
      </c>
      <c r="C19" s="92" t="n">
        <v>2024</v>
      </c>
      <c r="D19" s="20" t="inlineStr">
        <is>
          <t>United States</t>
        </is>
      </c>
      <c r="E19" s="20" t="inlineStr">
        <is>
          <t>U.S. Army</t>
        </is>
      </c>
      <c r="F19" s="20" t="inlineStr">
        <is>
          <t>DECPT</t>
        </is>
      </c>
      <c r="G19" s="20" t="inlineStr">
        <is>
          <t>W911NF2490001</t>
        </is>
      </c>
      <c r="H19" s="105" t="n">
        <v>1</v>
      </c>
      <c r="I19" s="105" t="n">
        <v>1</v>
      </c>
      <c r="J19" s="105" t="n">
        <v>0</v>
      </c>
      <c r="K19" s="105" t="n"/>
      <c r="L19" s="20" t="str"/>
      <c r="M19" s="20" t="str"/>
      <c r="N19" s="20" t="n">
        <v>1</v>
      </c>
      <c r="O19" s="20" t="inlineStr">
        <is>
          <t>Yes</t>
        </is>
      </c>
      <c r="P19" s="19" t="inlineStr">
        <is>
          <t>SM-0069</t>
        </is>
      </c>
    </row>
    <row r="20">
      <c r="A20" s="20" t="inlineStr">
        <is>
          <t>FIB-USAF-FA483024P0076</t>
        </is>
      </c>
      <c r="B20" s="92" t="n">
        <v>2024</v>
      </c>
      <c r="C20" s="92" t="n">
        <v>2024</v>
      </c>
      <c r="D20" s="20" t="inlineStr">
        <is>
          <t>United States</t>
        </is>
      </c>
      <c r="E20" s="20" t="inlineStr">
        <is>
          <t>U.S. Air Force / Air Combat Command</t>
        </is>
      </c>
      <c r="F20" s="20" t="inlineStr">
        <is>
          <t>Fibrotex</t>
        </is>
      </c>
      <c r="G20" s="20" t="inlineStr">
        <is>
          <t>Moody AFB camouflage kits</t>
        </is>
      </c>
      <c r="H20" s="105" t="n">
        <v>1</v>
      </c>
      <c r="I20" s="105" t="n">
        <v>1</v>
      </c>
      <c r="J20" s="105" t="n">
        <v>1</v>
      </c>
      <c r="K20" s="105" t="n"/>
      <c r="L20" s="20" t="str"/>
      <c r="M20" s="20" t="inlineStr">
        <is>
          <t>USD</t>
        </is>
      </c>
      <c r="N20" s="20" t="n">
        <v>0</v>
      </c>
      <c r="O20" s="20" t="inlineStr">
        <is>
          <t>Yes</t>
        </is>
      </c>
      <c r="P20" s="19" t="inlineStr">
        <is>
          <t>SM-0073</t>
        </is>
      </c>
    </row>
    <row r="21">
      <c r="A21" s="20" t="inlineStr">
        <is>
          <t>FR-HT4-2024</t>
        </is>
      </c>
      <c r="B21" s="92" t="n">
        <v>2024</v>
      </c>
      <c r="C21" s="92" t="n">
        <v>2024</v>
      </c>
      <c r="D21" s="20" t="inlineStr">
        <is>
          <t>France</t>
        </is>
      </c>
      <c r="E21" s="20" t="inlineStr">
        <is>
          <t>French DGA</t>
        </is>
      </c>
      <c r="F21" s="20" t="inlineStr">
        <is>
          <t>PGM Précision / Kastinger (HT4)</t>
        </is>
      </c>
      <c r="G21" s="20" t="inlineStr">
        <is>
          <t>Prix de l’Audace / AID label</t>
        </is>
      </c>
      <c r="H21" s="105" t="n">
        <v>1</v>
      </c>
      <c r="I21" s="105" t="n">
        <v>1</v>
      </c>
      <c r="J21" s="105" t="n">
        <v>0</v>
      </c>
      <c r="K21" s="105" t="n"/>
      <c r="L21" s="20" t="str"/>
      <c r="M21" s="20" t="str"/>
      <c r="N21" s="20" t="n">
        <v>1</v>
      </c>
      <c r="O21" s="20" t="inlineStr">
        <is>
          <t>Yes</t>
        </is>
      </c>
      <c r="P21" s="19" t="inlineStr">
        <is>
          <t>SM-0075</t>
        </is>
      </c>
    </row>
    <row r="22">
      <c r="A22" s="20" t="inlineStr">
        <is>
          <t>JP-MEDS</t>
        </is>
      </c>
      <c r="B22" s="92" t="n">
        <v>2024</v>
      </c>
      <c r="C22" s="92" t="n">
        <v>2026</v>
      </c>
      <c r="D22" s="20" t="inlineStr">
        <is>
          <t>Japan</t>
        </is>
      </c>
      <c r="E22" s="20" t="inlineStr">
        <is>
          <t>Japan MOD / JGSDF</t>
        </is>
      </c>
      <c r="F22" s="20" t="inlineStr">
        <is>
          <t>NAS / Fibrotex programme team</t>
        </is>
      </c>
      <c r="G22" s="20" t="inlineStr">
        <is>
          <t>Multiple Electromagnetic Disguise Net Set (MEDS); MEDS / multiple electromagnetic-wave camouflage net; MEDS — Individual camouflage equipment; MEDS — Chemical equipment; MEDS — Communications / electronics equipment; MEDS — Firepower / vehicle equipment; MEDS — Generic equipment set; MEDS — Guided-weapons equipment; MEDS — Medical equipment; MEDS — Verification set; MEDS — Verification sets; MEDS — aviation equipment; MEDS — communications/electronics equipment; MEDS — guided-weapons equipment; MEDS — firepower/vehicle equipment</t>
        </is>
      </c>
      <c r="H22" s="105" t="n">
        <v>24</v>
      </c>
      <c r="I22" s="105" t="n">
        <v>21</v>
      </c>
      <c r="J22" s="105" t="n">
        <v>18</v>
      </c>
      <c r="K22" s="105" t="n">
        <v>3341</v>
      </c>
      <c r="L22" s="20" t="inlineStr">
        <is>
          <t>sets</t>
        </is>
      </c>
      <c r="M22" s="20" t="inlineStr">
        <is>
          <t>JPY</t>
        </is>
      </c>
      <c r="N22" s="20" t="n">
        <v>2</v>
      </c>
      <c r="O22" s="20" t="inlineStr">
        <is>
          <t>Yes</t>
        </is>
      </c>
      <c r="P22" s="19" t="inlineStr">
        <is>
          <t>SM-0059, SM-0079, SM-0082, SM-0083, SM-0086, SM-0087, SM-0088, SM-0089, SM-0090, SM-0091, SM-0092, SM-0093, SM-0094, SM-0095, SM-0096, SM-0097, SM-0098, SM-0099, SM-0100, SM-0101, SM-0121, SM-0122, SM-0123, SM-0124</t>
        </is>
      </c>
    </row>
    <row r="23">
      <c r="A23" s="20" t="inlineStr">
        <is>
          <t>PL-BERBERYS-WB-2024</t>
        </is>
      </c>
      <c r="B23" s="92" t="n">
        <v>2024</v>
      </c>
      <c r="C23" s="92" t="n">
        <v>2024</v>
      </c>
      <c r="D23" s="20" t="inlineStr">
        <is>
          <t>Poland</t>
        </is>
      </c>
      <c r="E23" s="20" t="inlineStr">
        <is>
          <t>WB Electronics</t>
        </is>
      </c>
      <c r="F23" s="20" t="inlineStr">
        <is>
          <t>Miranda Textiles</t>
        </is>
      </c>
      <c r="G23" s="20" t="inlineStr">
        <is>
          <t>BERBERYS multispectral camouflage covers — WB Electronics supply contract</t>
        </is>
      </c>
      <c r="H23" s="105" t="n">
        <v>1</v>
      </c>
      <c r="I23" s="105" t="n">
        <v>1</v>
      </c>
      <c r="J23" s="105" t="n">
        <v>1</v>
      </c>
      <c r="K23" s="105" t="n"/>
      <c r="L23" s="20" t="str"/>
      <c r="M23" s="20" t="inlineStr">
        <is>
          <t>PLN</t>
        </is>
      </c>
      <c r="N23" s="20" t="n">
        <v>0</v>
      </c>
      <c r="O23" s="20" t="inlineStr">
        <is>
          <t>Yes</t>
        </is>
      </c>
      <c r="P23" s="19" t="inlineStr">
        <is>
          <t>SM-0145</t>
        </is>
      </c>
    </row>
    <row r="24">
      <c r="A24" s="20" t="inlineStr">
        <is>
          <t>PL-BERBERYS-ZMT-2024</t>
        </is>
      </c>
      <c r="B24" s="92" t="n">
        <v>2024</v>
      </c>
      <c r="C24" s="92" t="n">
        <v>2024</v>
      </c>
      <c r="D24" s="20" t="inlineStr">
        <is>
          <t>Poland</t>
        </is>
      </c>
      <c r="E24" s="20" t="inlineStr">
        <is>
          <t>ZM Tarnów / Polish defence supply chain</t>
        </is>
      </c>
      <c r="F24" s="20" t="inlineStr">
        <is>
          <t>Miranda Textiles</t>
        </is>
      </c>
      <c r="G24" s="20" t="inlineStr">
        <is>
          <t>Berberys 2024–2028</t>
        </is>
      </c>
      <c r="H24" s="105" t="n">
        <v>1</v>
      </c>
      <c r="I24" s="105" t="n">
        <v>1</v>
      </c>
      <c r="J24" s="105" t="n">
        <v>1</v>
      </c>
      <c r="K24" s="105" t="n"/>
      <c r="L24" s="20" t="str"/>
      <c r="M24" s="20" t="inlineStr">
        <is>
          <t>PLN</t>
        </is>
      </c>
      <c r="N24" s="20" t="n">
        <v>0</v>
      </c>
      <c r="O24" s="20" t="inlineStr">
        <is>
          <t>Yes</t>
        </is>
      </c>
      <c r="P24" s="19" t="inlineStr">
        <is>
          <t>SM-0062</t>
        </is>
      </c>
    </row>
    <row r="25">
      <c r="A25" s="20" t="inlineStr">
        <is>
          <t>CH-MSTS-2025</t>
        </is>
      </c>
      <c r="B25" s="92" t="n">
        <v>2025</v>
      </c>
      <c r="C25" s="92" t="n">
        <v>2025</v>
      </c>
      <c r="D25" s="20" t="inlineStr">
        <is>
          <t>Switzerland</t>
        </is>
      </c>
      <c r="E25" s="20" t="inlineStr">
        <is>
          <t>armasuisse</t>
        </is>
      </c>
      <c r="F25" s="20" t="inlineStr">
        <is>
          <t>SSZ Camouflage Technology; Saab Barracuda</t>
        </is>
      </c>
      <c r="G25" s="20" t="inlineStr">
        <is>
          <t>Multispectral camouflage and subterfuge systems; Multispectral Camouflage Systems (MSTS) — invitation procedure (Einladungsverfahren); Multispectral Camouflage Systems (MSTS)</t>
        </is>
      </c>
      <c r="H25" s="105" t="n">
        <v>3</v>
      </c>
      <c r="I25" s="105" t="n">
        <v>3</v>
      </c>
      <c r="J25" s="105" t="n">
        <v>0</v>
      </c>
      <c r="K25" s="105" t="n"/>
      <c r="L25" s="20" t="str"/>
      <c r="M25" s="20" t="str"/>
      <c r="N25" s="20" t="n">
        <v>1</v>
      </c>
      <c r="O25" s="20" t="inlineStr">
        <is>
          <t>Yes</t>
        </is>
      </c>
      <c r="P25" s="19" t="inlineStr">
        <is>
          <t>SM-0105, SM-0106, SM-0113</t>
        </is>
      </c>
    </row>
    <row r="26">
      <c r="A26" s="20" t="inlineStr">
        <is>
          <t>DK-SAAB-MCS-IKK</t>
        </is>
      </c>
      <c r="B26" s="92" t="n">
        <v>2025</v>
      </c>
      <c r="C26" s="92" t="n">
        <v>2025</v>
      </c>
      <c r="D26" s="20" t="inlineStr">
        <is>
          <t>Denmark</t>
        </is>
      </c>
      <c r="E26" s="20" t="inlineStr">
        <is>
          <t>Danish FMI / Army</t>
        </is>
      </c>
      <c r="F26" s="20" t="inlineStr">
        <is>
          <t>Saab Barracuda</t>
        </is>
      </c>
      <c r="G26" s="20" t="inlineStr">
        <is>
          <t>Danish infantry fighting vehicle camouflage fielding</t>
        </is>
      </c>
      <c r="H26" s="105" t="n">
        <v>1</v>
      </c>
      <c r="I26" s="105" t="n">
        <v>1</v>
      </c>
      <c r="J26" s="105" t="n">
        <v>0</v>
      </c>
      <c r="K26" s="105" t="n"/>
      <c r="L26" s="20" t="str"/>
      <c r="M26" s="20" t="str"/>
      <c r="N26" s="20" t="n">
        <v>0</v>
      </c>
      <c r="O26" s="20" t="inlineStr">
        <is>
          <t>Yes</t>
        </is>
      </c>
      <c r="P26" s="19" t="inlineStr">
        <is>
          <t>SM-0081</t>
        </is>
      </c>
    </row>
    <row r="27">
      <c r="A27" s="20" t="inlineStr">
        <is>
          <t>IN-GEM-5756973</t>
        </is>
      </c>
      <c r="B27" s="92" t="n">
        <v>2025</v>
      </c>
      <c r="C27" s="92" t="n">
        <v>2026</v>
      </c>
      <c r="D27" s="20" t="inlineStr">
        <is>
          <t>India</t>
        </is>
      </c>
      <c r="E27" s="20" t="inlineStr">
        <is>
          <t>Indian Army / Department of Military Affairs; Indian Ministry of Defence / Department of Military Affairs / Army</t>
        </is>
      </c>
      <c r="F27" s="20" t="inlineStr">
        <is>
          <t>Sterlite Camotech</t>
        </is>
      </c>
      <c r="G27" s="20" t="inlineStr">
        <is>
          <t>GeM GEM/2024/B/5756973; Army camouflage-net procurement</t>
        </is>
      </c>
      <c r="H27" s="105" t="n">
        <v>2</v>
      </c>
      <c r="I27" s="105" t="n">
        <v>2</v>
      </c>
      <c r="J27" s="105" t="n">
        <v>1</v>
      </c>
      <c r="K27" s="105" t="n">
        <v>1622</v>
      </c>
      <c r="L27" s="20" t="inlineStr">
        <is>
          <t>nets</t>
        </is>
      </c>
      <c r="M27" s="20" t="inlineStr">
        <is>
          <t>INR</t>
        </is>
      </c>
      <c r="N27" s="20" t="n">
        <v>0</v>
      </c>
      <c r="O27" s="20" t="inlineStr">
        <is>
          <t>Yes</t>
        </is>
      </c>
      <c r="P27" s="19" t="inlineStr">
        <is>
          <t>SM-0080, SM-0143</t>
        </is>
      </c>
    </row>
    <row r="28">
      <c r="A28" s="20" t="inlineStr">
        <is>
          <t>PL-MIR-COVERS-2025</t>
        </is>
      </c>
      <c r="B28" s="92" t="n">
        <v>2025</v>
      </c>
      <c r="C28" s="92" t="n">
        <v>2025</v>
      </c>
      <c r="D28" s="20" t="inlineStr">
        <is>
          <t>Poland</t>
        </is>
      </c>
      <c r="E28" s="20" t="inlineStr">
        <is>
          <t>Confidential domestic contractor from PGZ Group</t>
        </is>
      </c>
      <c r="F28" s="20" t="inlineStr">
        <is>
          <t>Miranda Textiles</t>
        </is>
      </c>
      <c r="G28" s="20" t="inlineStr">
        <is>
          <t>Military platform camouflage</t>
        </is>
      </c>
      <c r="H28" s="105" t="n">
        <v>1</v>
      </c>
      <c r="I28" s="105" t="n">
        <v>1</v>
      </c>
      <c r="J28" s="105" t="n">
        <v>1</v>
      </c>
      <c r="K28" s="105" t="n"/>
      <c r="L28" s="20" t="str"/>
      <c r="M28" s="20" t="inlineStr">
        <is>
          <t>PLN</t>
        </is>
      </c>
      <c r="N28" s="20" t="n">
        <v>0</v>
      </c>
      <c r="O28" s="20" t="inlineStr">
        <is>
          <t>Yes</t>
        </is>
      </c>
      <c r="P28" s="19" t="inlineStr">
        <is>
          <t>SM-0109</t>
        </is>
      </c>
    </row>
    <row r="29">
      <c r="A29" s="20" t="inlineStr">
        <is>
          <t>FI-ATMIS-GTD26</t>
        </is>
      </c>
      <c r="B29" s="92" t="n">
        <v>2026</v>
      </c>
      <c r="C29" s="92" t="n">
        <v>2026</v>
      </c>
      <c r="D29" s="20" t="inlineStr">
        <is>
          <t>Finland</t>
        </is>
      </c>
      <c r="E29" s="20" t="inlineStr">
        <is>
          <t>Griffin Tech Days / defence end users</t>
        </is>
      </c>
      <c r="F29" s="20" t="inlineStr">
        <is>
          <t>BCB International</t>
        </is>
      </c>
      <c r="G29" s="20" t="inlineStr">
        <is>
          <t>GTD26</t>
        </is>
      </c>
      <c r="H29" s="105" t="n">
        <v>1</v>
      </c>
      <c r="I29" s="105" t="n">
        <v>1</v>
      </c>
      <c r="J29" s="105" t="n">
        <v>0</v>
      </c>
      <c r="K29" s="105" t="n"/>
      <c r="L29" s="20" t="str"/>
      <c r="M29" s="20" t="str"/>
      <c r="N29" s="20" t="n">
        <v>1</v>
      </c>
      <c r="O29" s="20" t="inlineStr">
        <is>
          <t>Yes</t>
        </is>
      </c>
      <c r="P29" s="19" t="inlineStr">
        <is>
          <t>SM-0126</t>
        </is>
      </c>
    </row>
    <row r="30">
      <c r="A30" s="20" t="inlineStr">
        <is>
          <t>LU-BARRACUDA-2026</t>
        </is>
      </c>
      <c r="B30" s="92" t="n">
        <v>2026</v>
      </c>
      <c r="C30" s="92" t="n">
        <v>2026</v>
      </c>
      <c r="D30" s="20" t="inlineStr">
        <is>
          <t>Luxembourg</t>
        </is>
      </c>
      <c r="E30" s="20" t="inlineStr">
        <is>
          <t>Luxembourg defence procurement authority</t>
        </is>
      </c>
      <c r="F30" s="20" t="inlineStr">
        <is>
          <t>Saab Barracuda</t>
        </is>
      </c>
      <c r="G30" s="20" t="inlineStr">
        <is>
          <t>Scania MLST trucks</t>
        </is>
      </c>
      <c r="H30" s="105" t="n">
        <v>1</v>
      </c>
      <c r="I30" s="105" t="n">
        <v>1</v>
      </c>
      <c r="J30" s="105" t="n">
        <v>1</v>
      </c>
      <c r="K30" s="105" t="n">
        <v>32</v>
      </c>
      <c r="L30" s="20" t="inlineStr">
        <is>
          <t>sets</t>
        </is>
      </c>
      <c r="M30" s="20" t="inlineStr">
        <is>
          <t>EUR</t>
        </is>
      </c>
      <c r="N30" s="20" t="n">
        <v>0</v>
      </c>
      <c r="O30" s="20" t="inlineStr">
        <is>
          <t>Yes</t>
        </is>
      </c>
      <c r="P30" s="19" t="inlineStr">
        <is>
          <t>SM-0120</t>
        </is>
      </c>
    </row>
    <row r="31">
      <c r="A31" s="20" t="inlineStr">
        <is>
          <t>NL-SAAB-MCS-2026</t>
        </is>
      </c>
      <c r="B31" s="92" t="n">
        <v>2026</v>
      </c>
      <c r="C31" s="92" t="n">
        <v>2026</v>
      </c>
      <c r="D31" s="20" t="inlineStr">
        <is>
          <t>Netherlands</t>
        </is>
      </c>
      <c r="E31" s="20" t="inlineStr">
        <is>
          <t>Netherlands Ministry of Defence</t>
        </is>
      </c>
      <c r="F31" s="20" t="inlineStr">
        <is>
          <t>Saab Barracuda</t>
        </is>
      </c>
      <c r="G31" s="20" t="inlineStr">
        <is>
          <t>Fennek, PzH2000NL, CV90 and other vehicles; Fennek / Panzerhaubitze</t>
        </is>
      </c>
      <c r="H31" s="105" t="n">
        <v>2</v>
      </c>
      <c r="I31" s="105" t="n">
        <v>2</v>
      </c>
      <c r="J31" s="105" t="n">
        <v>1</v>
      </c>
      <c r="K31" s="105" t="n"/>
      <c r="L31" s="20" t="str"/>
      <c r="M31" s="20" t="str"/>
      <c r="N31" s="20" t="n">
        <v>0</v>
      </c>
      <c r="O31" s="20" t="inlineStr">
        <is>
          <t>Yes</t>
        </is>
      </c>
      <c r="P31" s="19" t="inlineStr">
        <is>
          <t>SM-0140, SM-0144</t>
        </is>
      </c>
    </row>
    <row r="32">
      <c r="A32" s="20" t="inlineStr">
        <is>
          <t>NORDIC-SAAB-MCS-2026</t>
        </is>
      </c>
      <c r="B32" s="92" t="n">
        <v>2026</v>
      </c>
      <c r="C32" s="92" t="n">
        <v>2026</v>
      </c>
      <c r="D32" s="20" t="inlineStr">
        <is>
          <t>Nordic joint</t>
        </is>
      </c>
      <c r="E32" s="20" t="inlineStr">
        <is>
          <t>Norwegian FMA</t>
        </is>
      </c>
      <c r="F32" s="20" t="inlineStr">
        <is>
          <t>Saab Barracuda</t>
        </is>
      </c>
      <c r="G32" s="20" t="inlineStr">
        <is>
          <t>Nordic MCS cooperative testing</t>
        </is>
      </c>
      <c r="H32" s="105" t="n">
        <v>1</v>
      </c>
      <c r="I32" s="105" t="n">
        <v>1</v>
      </c>
      <c r="J32" s="105" t="n">
        <v>0</v>
      </c>
      <c r="K32" s="105" t="n"/>
      <c r="L32" s="20" t="str"/>
      <c r="M32" s="20" t="str"/>
      <c r="N32" s="20" t="n">
        <v>1</v>
      </c>
      <c r="O32" s="20" t="inlineStr">
        <is>
          <t>Yes</t>
        </is>
      </c>
      <c r="P32" s="19" t="inlineStr">
        <is>
          <t>SM-0125</t>
        </is>
      </c>
    </row>
    <row r="33">
      <c r="A33" s="20" t="inlineStr">
        <is>
          <t>PL-MIR-COVERS-2026</t>
        </is>
      </c>
      <c r="B33" s="92" t="n">
        <v>2026</v>
      </c>
      <c r="C33" s="92" t="n">
        <v>2026</v>
      </c>
      <c r="D33" s="20" t="inlineStr">
        <is>
          <t>Poland</t>
        </is>
      </c>
      <c r="E33" s="20" t="inlineStr">
        <is>
          <t>Domestic contractor from PGZ Group</t>
        </is>
      </c>
      <c r="F33" s="20" t="inlineStr">
        <is>
          <t>Miranda Textiles</t>
        </is>
      </c>
      <c r="G33" s="20" t="inlineStr">
        <is>
          <t>Military platform camouflage</t>
        </is>
      </c>
      <c r="H33" s="105" t="n">
        <v>1</v>
      </c>
      <c r="I33" s="105" t="n">
        <v>1</v>
      </c>
      <c r="J33" s="105" t="n">
        <v>1</v>
      </c>
      <c r="K33" s="105" t="n"/>
      <c r="L33" s="20" t="str"/>
      <c r="M33" s="20" t="inlineStr">
        <is>
          <t>PLN</t>
        </is>
      </c>
      <c r="N33" s="20" t="n">
        <v>0</v>
      </c>
      <c r="O33" s="20" t="inlineStr">
        <is>
          <t>Yes</t>
        </is>
      </c>
      <c r="P33" s="19" t="inlineStr">
        <is>
          <t>SM-0141</t>
        </is>
      </c>
    </row>
    <row r="34">
      <c r="A34" s="20" t="inlineStr">
        <is>
          <t>PL-NAREW-CAMO</t>
        </is>
      </c>
      <c r="B34" s="92" t="n">
        <v>2026</v>
      </c>
      <c r="C34" s="92" t="n">
        <v>2026</v>
      </c>
      <c r="D34" s="20" t="inlineStr">
        <is>
          <t>Poland</t>
        </is>
      </c>
      <c r="E34" s="20" t="inlineStr">
        <is>
          <t>Polish defense prime / state procurement chain</t>
        </is>
      </c>
      <c r="F34" s="20" t="inlineStr">
        <is>
          <t>Lubawa</t>
        </is>
      </c>
      <c r="G34" s="20" t="inlineStr">
        <is>
          <t>NAREW</t>
        </is>
      </c>
      <c r="H34" s="105" t="n">
        <v>1</v>
      </c>
      <c r="I34" s="105" t="n">
        <v>1</v>
      </c>
      <c r="J34" s="105" t="n">
        <v>0</v>
      </c>
      <c r="K34" s="105" t="n"/>
      <c r="L34" s="20" t="str"/>
      <c r="M34" s="20" t="str"/>
      <c r="N34" s="20" t="n">
        <v>0</v>
      </c>
      <c r="O34" s="20" t="inlineStr">
        <is>
          <t>Yes</t>
        </is>
      </c>
      <c r="P34" s="19" t="inlineStr">
        <is>
          <t>SM-0138</t>
        </is>
      </c>
    </row>
    <row r="35">
      <c r="A35" s="20" t="inlineStr">
        <is>
          <t>PL-WISLA-II-CAMO</t>
        </is>
      </c>
      <c r="B35" s="92" t="n">
        <v>2026</v>
      </c>
      <c r="C35" s="92" t="n">
        <v>2026</v>
      </c>
      <c r="D35" s="20" t="inlineStr">
        <is>
          <t>Poland</t>
        </is>
      </c>
      <c r="E35" s="20" t="inlineStr">
        <is>
          <t>Polish State / Armament Agency</t>
        </is>
      </c>
      <c r="F35" s="20" t="inlineStr">
        <is>
          <t>Lubawa</t>
        </is>
      </c>
      <c r="G35" s="20" t="inlineStr">
        <is>
          <t>Wisła II</t>
        </is>
      </c>
      <c r="H35" s="105" t="n">
        <v>1</v>
      </c>
      <c r="I35" s="105" t="n">
        <v>1</v>
      </c>
      <c r="J35" s="105" t="n">
        <v>1</v>
      </c>
      <c r="K35" s="105" t="n"/>
      <c r="L35" s="20" t="str"/>
      <c r="M35" s="20" t="inlineStr">
        <is>
          <t>PLN</t>
        </is>
      </c>
      <c r="N35" s="20" t="n">
        <v>0</v>
      </c>
      <c r="O35" s="20" t="inlineStr">
        <is>
          <t>Yes</t>
        </is>
      </c>
      <c r="P35" s="19" t="inlineStr">
        <is>
          <t>SM-0139</t>
        </is>
      </c>
    </row>
    <row r="36">
      <c r="A36" s="20" t="inlineStr">
        <is>
          <t>UK-ATMIS-TRIAL-2026</t>
        </is>
      </c>
      <c r="B36" s="92" t="n">
        <v>2026</v>
      </c>
      <c r="C36" s="92" t="n">
        <v>2026</v>
      </c>
      <c r="D36" s="20" t="inlineStr">
        <is>
          <t>United Kingdom</t>
        </is>
      </c>
      <c r="E36" s="20" t="inlineStr">
        <is>
          <t>British Army Armoured Cavalry and Engineer units</t>
        </is>
      </c>
      <c r="F36" s="20" t="inlineStr">
        <is>
          <t>BCB International</t>
        </is>
      </c>
      <c r="G36" s="20" t="inlineStr">
        <is>
          <t>Operational field trials</t>
        </is>
      </c>
      <c r="H36" s="105" t="n">
        <v>1</v>
      </c>
      <c r="I36" s="105" t="n">
        <v>1</v>
      </c>
      <c r="J36" s="105" t="n">
        <v>0</v>
      </c>
      <c r="K36" s="105" t="n"/>
      <c r="L36" s="20" t="str"/>
      <c r="M36" s="20" t="str"/>
      <c r="N36" s="20" t="n">
        <v>1</v>
      </c>
      <c r="O36" s="20" t="inlineStr">
        <is>
          <t>Yes</t>
        </is>
      </c>
      <c r="P36" s="19" t="inlineStr">
        <is>
          <t>SM-0129</t>
        </is>
      </c>
    </row>
    <row r="37">
      <c r="A37" s="20" t="inlineStr">
        <is>
          <t>US-AMET-FLINT-MESH-2026</t>
        </is>
      </c>
      <c r="B37" s="92" t="n">
        <v>2026</v>
      </c>
      <c r="C37" s="92" t="n">
        <v>2026</v>
      </c>
      <c r="D37" s="20" t="inlineStr">
        <is>
          <t>United States</t>
        </is>
      </c>
      <c r="E37" s="20" t="inlineStr">
        <is>
          <t>U.S. Army</t>
        </is>
      </c>
      <c r="F37" s="20" t="inlineStr">
        <is>
          <t>Ametrine Technologies</t>
        </is>
      </c>
      <c r="G37" s="20" t="inlineStr">
        <is>
          <t>W912CH26P0033</t>
        </is>
      </c>
      <c r="H37" s="105" t="n">
        <v>1</v>
      </c>
      <c r="I37" s="105" t="n">
        <v>1</v>
      </c>
      <c r="J37" s="105" t="n">
        <v>1</v>
      </c>
      <c r="K37" s="105" t="n"/>
      <c r="L37" s="20" t="str"/>
      <c r="M37" s="20" t="inlineStr">
        <is>
          <t>USD</t>
        </is>
      </c>
      <c r="N37" s="20" t="n">
        <v>0</v>
      </c>
      <c r="O37" s="20" t="inlineStr">
        <is>
          <t>Yes</t>
        </is>
      </c>
      <c r="P37" s="19" t="inlineStr">
        <is>
          <t>SM-0131</t>
        </is>
      </c>
    </row>
    <row r="38">
      <c r="A38" s="20" t="inlineStr">
        <is>
          <t>US-AMET-VEH-MESH-2026</t>
        </is>
      </c>
      <c r="B38" s="92" t="n">
        <v>2026</v>
      </c>
      <c r="C38" s="92" t="n">
        <v>2026</v>
      </c>
      <c r="D38" s="20" t="inlineStr">
        <is>
          <t>United States</t>
        </is>
      </c>
      <c r="E38" s="20" t="inlineStr">
        <is>
          <t>U.S. Army</t>
        </is>
      </c>
      <c r="F38" s="20" t="inlineStr">
        <is>
          <t>Ametrine Technologies</t>
        </is>
      </c>
      <c r="G38" s="20" t="inlineStr">
        <is>
          <t>W912CH26P0031</t>
        </is>
      </c>
      <c r="H38" s="105" t="n">
        <v>1</v>
      </c>
      <c r="I38" s="105" t="n">
        <v>1</v>
      </c>
      <c r="J38" s="105" t="n">
        <v>1</v>
      </c>
      <c r="K38" s="105" t="n"/>
      <c r="L38" s="20" t="str"/>
      <c r="M38" s="20" t="inlineStr">
        <is>
          <t>USD</t>
        </is>
      </c>
      <c r="N38" s="20" t="n">
        <v>0</v>
      </c>
      <c r="O38" s="20" t="inlineStr">
        <is>
          <t>Yes</t>
        </is>
      </c>
      <c r="P38" s="19" t="inlineStr">
        <is>
          <t>SM-0132</t>
        </is>
      </c>
    </row>
    <row r="39">
      <c r="A39" s="20" t="inlineStr">
        <is>
          <t>AMET-MESH-2020</t>
        </is>
      </c>
      <c r="B39" s="92" t="n">
        <v>2020</v>
      </c>
      <c r="C39" s="92" t="n">
        <v>2020</v>
      </c>
      <c r="D39" s="20" t="inlineStr">
        <is>
          <t>United States</t>
        </is>
      </c>
      <c r="E39" s="20" t="inlineStr">
        <is>
          <t>U.S. NRL / ONR</t>
        </is>
      </c>
      <c r="F39" s="20" t="inlineStr">
        <is>
          <t>Ametrine Technologies</t>
        </is>
      </c>
      <c r="G39" s="20" t="inlineStr">
        <is>
          <t>N0017320P0084</t>
        </is>
      </c>
      <c r="H39" s="105" t="n">
        <v>1</v>
      </c>
      <c r="I39" s="105" t="n">
        <v>0</v>
      </c>
      <c r="J39" s="105" t="n">
        <v>0</v>
      </c>
      <c r="K39" s="105" t="n"/>
      <c r="L39" s="20" t="str"/>
      <c r="M39" s="20" t="str"/>
      <c r="N39" s="20" t="n">
        <v>0</v>
      </c>
      <c r="O39" s="20" t="inlineStr">
        <is>
          <t>No</t>
        </is>
      </c>
      <c r="P39" s="19" t="inlineStr">
        <is>
          <t>SM-0002</t>
        </is>
      </c>
    </row>
    <row r="40">
      <c r="A40" s="19" t="inlineStr">
        <is>
          <t>AME-N0017321P0970</t>
        </is>
      </c>
      <c r="B40" s="19" t="n">
        <v>2021</v>
      </c>
      <c r="C40" s="19" t="n">
        <v>2021</v>
      </c>
      <c r="D40" s="19" t="inlineStr">
        <is>
          <t>United States</t>
        </is>
      </c>
      <c r="E40" s="19" t="inlineStr">
        <is>
          <t>U.S. NRL / ONR</t>
        </is>
      </c>
      <c r="F40" s="19" t="inlineStr">
        <is>
          <t>Ametrine Technologies</t>
        </is>
      </c>
      <c r="G40" s="19" t="inlineStr">
        <is>
          <t>N0017321P0970</t>
        </is>
      </c>
      <c r="H40" s="19" t="n">
        <v>1</v>
      </c>
      <c r="I40" s="19" t="n">
        <v>0</v>
      </c>
      <c r="J40" s="19" t="n">
        <v>0</v>
      </c>
      <c r="K40" s="19" t="n"/>
      <c r="L40" s="19" t="str"/>
      <c r="M40" s="19" t="str"/>
      <c r="N40" s="19" t="n">
        <v>0</v>
      </c>
      <c r="O40" s="19" t="inlineStr">
        <is>
          <t>No</t>
        </is>
      </c>
      <c r="P40" s="19" t="inlineStr">
        <is>
          <t>SM-0031</t>
        </is>
      </c>
    </row>
    <row r="41">
      <c r="A41" s="106" t="inlineStr">
        <is>
          <t>MAST-N0010421DYW01</t>
        </is>
      </c>
      <c r="B41" s="107" t="n"/>
      <c r="C41" s="107" t="n"/>
      <c r="D41" s="107" t="n"/>
      <c r="E41" s="107" t="n"/>
      <c r="F41" s="107" t="n"/>
      <c r="G41" s="107" t="n"/>
      <c r="H41" s="107" t="n"/>
      <c r="I41" s="107" t="n"/>
      <c r="J41" s="107" t="n"/>
      <c r="K41" s="107" t="n"/>
      <c r="L41" s="107" t="n"/>
      <c r="M41" s="107" t="n"/>
      <c r="N41" s="107" t="n"/>
      <c r="O41" s="108" t="n"/>
      <c r="P41" s="19" t="inlineStr">
        <is>
          <t>SM-0029, SM-0030</t>
        </is>
      </c>
    </row>
    <row r="42">
      <c r="A42" s="109" t="n"/>
      <c r="B42" s="90" t="n"/>
      <c r="C42" s="90" t="n"/>
      <c r="D42" s="90" t="n"/>
      <c r="E42" s="90" t="n"/>
      <c r="F42" s="90" t="n"/>
      <c r="G42" s="90" t="n"/>
      <c r="H42" s="90" t="n"/>
      <c r="I42" s="90" t="n"/>
      <c r="J42" s="90" t="n"/>
      <c r="K42" s="90" t="n"/>
      <c r="L42" s="90" t="n"/>
      <c r="M42" s="90" t="n"/>
      <c r="N42" s="90" t="n"/>
      <c r="O42" s="91" t="n"/>
      <c r="P42" s="19" t="inlineStr">
        <is>
          <t>SM-0027, SM-0028, SM-0032, SM-0038, SM-0044, SM-0054, SM-0056, SM-0102</t>
        </is>
      </c>
    </row>
    <row r="43">
      <c r="A43" s="19" t="inlineStr">
        <is>
          <t>MAST-USN-RAM-3R-2022</t>
        </is>
      </c>
      <c r="B43" s="19" t="n">
        <v>2022</v>
      </c>
      <c r="C43" s="19" t="n">
        <v>2022</v>
      </c>
      <c r="D43" s="19" t="inlineStr">
        <is>
          <t>United States</t>
        </is>
      </c>
      <c r="E43" s="19" t="inlineStr">
        <is>
          <t>U.S. Navy</t>
        </is>
      </c>
      <c r="F43" s="19" t="inlineStr">
        <is>
          <t>MAST Technologies</t>
        </is>
      </c>
      <c r="G43" s="19" t="inlineStr">
        <is>
          <t>N0010423CUA02 — U.S. Navy ship RAM</t>
        </is>
      </c>
      <c r="H43" s="19" t="n">
        <v>1</v>
      </c>
      <c r="I43" s="19" t="n">
        <v>0</v>
      </c>
      <c r="J43" s="19" t="n">
        <v>0</v>
      </c>
      <c r="K43" s="19" t="n"/>
      <c r="L43" s="19" t="str"/>
      <c r="M43" s="19" t="str"/>
      <c r="N43" s="19" t="n">
        <v>0</v>
      </c>
      <c r="O43" s="19" t="inlineStr">
        <is>
          <t>No</t>
        </is>
      </c>
      <c r="P43" s="19" t="inlineStr">
        <is>
          <t>SM-0045</t>
        </is>
      </c>
    </row>
    <row r="44">
      <c r="A44" s="19" t="inlineStr">
        <is>
          <t>US-SOCOM-AMETRINE-2022</t>
        </is>
      </c>
      <c r="B44" s="19" t="n">
        <v>2022</v>
      </c>
      <c r="C44" s="19" t="n">
        <v>2022</v>
      </c>
      <c r="D44" s="19" t="inlineStr">
        <is>
          <t>United States</t>
        </is>
      </c>
      <c r="E44" s="19" t="inlineStr">
        <is>
          <t>USSOCOM</t>
        </is>
      </c>
      <c r="F44" s="19" t="inlineStr">
        <is>
          <t>Ametrine Technologies</t>
        </is>
      </c>
      <c r="G44" s="19" t="inlineStr">
        <is>
          <t>H9240523C0001</t>
        </is>
      </c>
      <c r="H44" s="19" t="n">
        <v>1</v>
      </c>
      <c r="I44" s="19" t="n">
        <v>0</v>
      </c>
      <c r="J44" s="19" t="n">
        <v>0</v>
      </c>
      <c r="K44" s="19" t="n"/>
      <c r="L44" s="19" t="str"/>
      <c r="M44" s="19" t="str"/>
      <c r="N44" s="19" t="n">
        <v>0</v>
      </c>
      <c r="O44" s="19" t="inlineStr">
        <is>
          <t>No</t>
        </is>
      </c>
      <c r="P44" s="19" t="inlineStr">
        <is>
          <t>SM-0043</t>
        </is>
      </c>
    </row>
    <row r="45">
      <c r="A45" s="19" t="inlineStr">
        <is>
          <t>ARC-USN-RAM</t>
        </is>
      </c>
      <c r="B45" s="19" t="n">
        <v>2023</v>
      </c>
      <c r="C45" s="19" t="n">
        <v>2024</v>
      </c>
      <c r="D45" s="19" t="inlineStr">
        <is>
          <t>United States</t>
        </is>
      </c>
      <c r="E45" s="19" t="inlineStr">
        <is>
          <t>U.S. Navy</t>
        </is>
      </c>
      <c r="F45" s="19" t="inlineStr">
        <is>
          <t>ARC Technologies / Hexcel</t>
        </is>
      </c>
      <c r="G45" s="19" t="inlineStr">
        <is>
          <t>Radar Absorbent Material procurement; Navy radar equipment</t>
        </is>
      </c>
      <c r="H45" s="19" t="n">
        <v>2</v>
      </c>
      <c r="I45" s="19" t="n">
        <v>0</v>
      </c>
      <c r="J45" s="19" t="n">
        <v>0</v>
      </c>
      <c r="K45" s="19" t="n"/>
      <c r="L45" s="19" t="str"/>
      <c r="M45" s="19" t="str"/>
      <c r="N45" s="19" t="n">
        <v>0</v>
      </c>
      <c r="O45" s="19" t="inlineStr">
        <is>
          <t>No</t>
        </is>
      </c>
      <c r="P45" s="19" t="inlineStr">
        <is>
          <t>SM-0052, SM-0071</t>
        </is>
      </c>
    </row>
    <row r="46">
      <c r="A46" s="19" t="inlineStr">
        <is>
          <t>USN-MAST-RAM-TILES</t>
        </is>
      </c>
      <c r="B46" s="19" t="n">
        <v>2023</v>
      </c>
      <c r="C46" s="19" t="n">
        <v>2026</v>
      </c>
      <c r="D46" s="19" t="inlineStr">
        <is>
          <t>United States</t>
        </is>
      </c>
      <c r="E46" s="19" t="inlineStr">
        <is>
          <t>U.S. Navy</t>
        </is>
      </c>
      <c r="F46" s="19" t="inlineStr">
        <is>
          <t>MAST Technologies</t>
        </is>
      </c>
      <c r="G46" s="19" t="inlineStr">
        <is>
          <t>N0010423FV902; N0010425PUA34; N0010425CUA01; N0010425PUC71; N0010426PUB08</t>
        </is>
      </c>
      <c r="H46" s="19" t="n">
        <v>5</v>
      </c>
      <c r="I46" s="19" t="n">
        <v>0</v>
      </c>
      <c r="J46" s="19" t="n">
        <v>0</v>
      </c>
      <c r="K46" s="19" t="n"/>
      <c r="L46" s="19" t="str"/>
      <c r="M46" s="19" t="str"/>
      <c r="N46" s="19" t="n">
        <v>0</v>
      </c>
      <c r="O46" s="19" t="inlineStr">
        <is>
          <t>No</t>
        </is>
      </c>
      <c r="P46" s="19" t="inlineStr">
        <is>
          <t>SM-0046, SM-0077, SM-0078, SM-0110, SM-0134</t>
        </is>
      </c>
    </row>
    <row r="47">
      <c r="A47" s="19" t="inlineStr">
        <is>
          <t>ARC-N0017825Q6738</t>
        </is>
      </c>
      <c r="B47" s="19" t="n">
        <v>2025</v>
      </c>
      <c r="C47" s="19" t="n">
        <v>2025</v>
      </c>
      <c r="D47" s="19" t="inlineStr">
        <is>
          <t>United States</t>
        </is>
      </c>
      <c r="E47" s="19" t="inlineStr">
        <is>
          <t>U.S. Navy</t>
        </is>
      </c>
      <c r="F47" s="19" t="inlineStr">
        <is>
          <t>ARC Technologies / Hexcel</t>
        </is>
      </c>
      <c r="G47" s="19" t="inlineStr">
        <is>
          <t>N0017825Q6738; N0017825P6738</t>
        </is>
      </c>
      <c r="H47" s="19" t="n">
        <v>2</v>
      </c>
      <c r="I47" s="19" t="n">
        <v>0</v>
      </c>
      <c r="J47" s="19" t="n">
        <v>0</v>
      </c>
      <c r="K47" s="19" t="n"/>
      <c r="L47" s="19" t="str"/>
      <c r="M47" s="19" t="str"/>
      <c r="N47" s="19" t="n">
        <v>0</v>
      </c>
      <c r="O47" s="19" t="inlineStr">
        <is>
          <t>No</t>
        </is>
      </c>
      <c r="P47" s="19" t="inlineStr">
        <is>
          <t>SM-0085, SM-0104</t>
        </is>
      </c>
    </row>
    <row r="48">
      <c r="A48" s="19" t="inlineStr">
        <is>
          <t>ARC-N0017826Q6808</t>
        </is>
      </c>
      <c r="B48" s="19" t="n">
        <v>2026</v>
      </c>
      <c r="C48" s="19" t="n">
        <v>2026</v>
      </c>
      <c r="D48" s="19" t="inlineStr">
        <is>
          <t>United States</t>
        </is>
      </c>
      <c r="E48" s="19" t="inlineStr">
        <is>
          <t>U.S. Navy</t>
        </is>
      </c>
      <c r="F48" s="19" t="inlineStr">
        <is>
          <t>ARC Technologies / Hexcel</t>
        </is>
      </c>
      <c r="G48" s="19" t="inlineStr">
        <is>
          <t>N0017826Q6808 / N0017826P6808</t>
        </is>
      </c>
      <c r="H48" s="19" t="n">
        <v>1</v>
      </c>
      <c r="I48" s="19" t="n">
        <v>0</v>
      </c>
      <c r="J48" s="19" t="n">
        <v>0</v>
      </c>
      <c r="K48" s="19" t="n"/>
      <c r="L48" s="19" t="str"/>
      <c r="M48" s="19" t="str"/>
      <c r="N48" s="19" t="n">
        <v>0</v>
      </c>
      <c r="O48" s="19" t="inlineStr">
        <is>
          <t>No</t>
        </is>
      </c>
      <c r="P48" s="19" t="inlineStr">
        <is>
          <t>SM-0142</t>
        </is>
      </c>
    </row>
    <row r="49">
      <c r="A49" s="19" t="inlineStr">
        <is>
          <t>ARC-N6523626QE234</t>
        </is>
      </c>
      <c r="B49" s="19" t="n">
        <v>2026</v>
      </c>
      <c r="C49" s="19" t="n">
        <v>2026</v>
      </c>
      <c r="D49" s="19" t="inlineStr">
        <is>
          <t>United States</t>
        </is>
      </c>
      <c r="E49" s="19" t="inlineStr">
        <is>
          <t>U.S. Navy / NIWC Atlantic</t>
        </is>
      </c>
      <c r="F49" s="19" t="inlineStr">
        <is>
          <t>ARC Technologies / Hexcel</t>
        </is>
      </c>
      <c r="G49" s="19" t="inlineStr">
        <is>
          <t>N6523626QE234</t>
        </is>
      </c>
      <c r="H49" s="19" t="n">
        <v>1</v>
      </c>
      <c r="I49" s="19" t="n">
        <v>0</v>
      </c>
      <c r="J49" s="19" t="n">
        <v>0</v>
      </c>
      <c r="K49" s="19" t="n"/>
      <c r="L49" s="19" t="str"/>
      <c r="M49" s="19" t="str"/>
      <c r="N49" s="19" t="n">
        <v>0</v>
      </c>
      <c r="O49" s="19" t="inlineStr">
        <is>
          <t>No</t>
        </is>
      </c>
      <c r="P49" s="19" t="inlineStr">
        <is>
          <t>SM-0137</t>
        </is>
      </c>
    </row>
    <row r="50">
      <c r="A50" s="19" t="inlineStr">
        <is>
          <t>PPG-FA930221D0009</t>
        </is>
      </c>
      <c r="B50" s="19" t="n">
        <v>2021</v>
      </c>
      <c r="C50" s="19" t="n">
        <v>2025</v>
      </c>
      <c r="D50" s="19" t="inlineStr">
        <is>
          <t>United States</t>
        </is>
      </c>
      <c r="E50" s="19" t="inlineStr">
        <is>
          <t>U.S. Air Force</t>
        </is>
      </c>
      <c r="F50" s="19" t="inlineStr">
        <is>
          <t>PPG</t>
        </is>
      </c>
      <c r="G50" s="19" t="inlineStr">
        <is>
          <t>FA930221D0009 — Radar Absorbent Material IDIQ</t>
        </is>
      </c>
      <c r="H50" s="19" t="n">
        <v>8</v>
      </c>
      <c r="I50" s="19" t="n">
        <v>0</v>
      </c>
      <c r="J50" s="19" t="n">
        <v>0</v>
      </c>
      <c r="K50" s="19" t="n"/>
      <c r="L50" s="19" t="n"/>
      <c r="M50" s="19" t="n"/>
      <c r="N50" s="19" t="n">
        <v>0</v>
      </c>
      <c r="O50" s="19" t="inlineStr">
        <is>
          <t>No</t>
        </is>
      </c>
      <c r="P50" s="19" t="inlineStr">
        <is>
          <t>SM-0027, SM-0028, SM-0032, SM-0038, SM-0044, SM-0054, SM-0056, SM-0102</t>
        </is>
      </c>
    </row>
  </sheetData>
  <mergeCells count="5">
    <mergeCell ref="A2:O2"/>
    <mergeCell ref="A1:P1"/>
    <mergeCell ref="A41:O42"/>
    <mergeCell ref="A1:O1"/>
    <mergeCell ref="A2:P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8"/>
  <sheetViews>
    <sheetView showGridLines="0" workbookViewId="0">
      <pane ySplit="4" topLeftCell="A5" activePane="bottomLeft" state="frozen"/>
      <selection activeCell="A1" sqref="A1"/>
    </sheetView>
  </sheetViews>
  <sheetFormatPr baseColWidth="8" defaultRowHeight="15"/>
  <cols>
    <col width="1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ht="30" customHeight="1">
      <c r="A1" s="37" t="inlineStr">
        <is>
          <t>Final Annual Land-Core Metrics — Row-Level Reproduction</t>
        </is>
      </c>
    </row>
    <row r="2" ht="32" customHeight="1">
      <c r="A2" s="6" t="inlineStr">
        <is>
          <t>All annual counts below are formula-linked to Master Events flags. 2026 covers 1 Jan–9 Sep only.</t>
        </is>
      </c>
    </row>
    <row r="4" ht="28" customHeight="1">
      <c r="A4" s="39" t="inlineStr">
        <is>
          <t>Year</t>
        </is>
      </c>
      <c r="B4" s="39" t="inlineStr">
        <is>
          <t>Total Core Events</t>
        </is>
      </c>
      <c r="C4" s="39" t="inlineStr">
        <is>
          <t>Actual Orders</t>
        </is>
      </c>
      <c r="D4" s="39" t="inlineStr">
        <is>
          <t>Active Programme / Procurement Families</t>
        </is>
      </c>
      <c r="E4" s="39" t="inlineStr">
        <is>
          <t>Programmes with ≥1 Actual Order</t>
        </is>
      </c>
      <c r="F4" s="39" t="inlineStr">
        <is>
          <t>Active Suppliers</t>
        </is>
      </c>
      <c r="G4" s="39" t="inlineStr">
        <is>
          <t>Unique Canonical Buyers</t>
        </is>
      </c>
      <c r="H4" s="39" t="inlineStr">
        <is>
          <t>Countries</t>
        </is>
      </c>
      <c r="I4" s="39" t="inlineStr">
        <is>
          <t>Development / Validation Events</t>
        </is>
      </c>
      <c r="J4" s="39" t="inlineStr">
        <is>
          <t>Other Commercial Milestones</t>
        </is>
      </c>
      <c r="K4" s="39" t="inlineStr">
        <is>
          <t>Order-bearing Families</t>
        </is>
      </c>
      <c r="L4" s="39" t="inlineStr">
        <is>
          <t>Largest Family Orders</t>
        </is>
      </c>
      <c r="M4" s="52" t="inlineStr">
        <is>
          <t>Largest Family Share</t>
        </is>
      </c>
    </row>
    <row r="5">
      <c r="A5" s="92" t="n">
        <v>2020</v>
      </c>
      <c r="B5" s="92">
        <f>COUNTIFS('Master Events'!$D$5:$D$147,$A5,'Master Events'!$AC$5:$AC$147,"Yes")</f>
        <v/>
      </c>
      <c r="C5" s="92">
        <f>COUNTIFS('Master Events'!$D$5:$D$147,$A5,'Master Events'!$AC$5:$AC$147,"Yes",'Master Events'!$R$5:$R$147,"Yes")</f>
        <v/>
      </c>
      <c r="D5" s="92">
        <f>SUMIFS('Master Events'!$AQ$5:$AQ$147,'Master Events'!$D$5:$D$147,$A5)</f>
        <v/>
      </c>
      <c r="E5" s="92">
        <f>SUMIFS('Master Events'!$AR$5:$AR$147,'Master Events'!$D$5:$D$147,$A5)</f>
        <v/>
      </c>
      <c r="F5" s="92">
        <f>SUMIFS('Master Events'!$AS$5:$AS$147,'Master Events'!$D$5:$D$147,$A5)</f>
        <v/>
      </c>
      <c r="G5" s="92">
        <f>SUMIFS('Master Events'!$AT$5:$AT$147,'Master Events'!$D$5:$D$147,$A5)</f>
        <v/>
      </c>
      <c r="H5" s="92">
        <f>SUMIFS('Master Events'!$AU$5:$AU$147,'Master Events'!$D$5:$D$147,$A5)</f>
        <v/>
      </c>
      <c r="I5" s="92">
        <f>COUNTIFS('Master Events'!$D$5:$D$147,$A5,'Master Events'!$AC$5:$AC$147,"Yes",'Master Events'!$AA$5:$AA$147,"Development / Validation")</f>
        <v/>
      </c>
      <c r="J5" s="92">
        <f>B5-C5-I5</f>
        <v/>
      </c>
      <c r="K5" s="92">
        <f>E5</f>
        <v/>
      </c>
      <c r="L5" s="92" t="n">
        <v>13</v>
      </c>
      <c r="M5" s="97">
        <f>IF(C5=0,0,L5/C5)</f>
        <v/>
      </c>
    </row>
    <row r="6">
      <c r="A6" s="92" t="n">
        <v>2021</v>
      </c>
      <c r="B6" s="92">
        <f>COUNTIFS('Master Events'!$D$5:$D$147,$A6,'Master Events'!$AC$5:$AC$147,"Yes")</f>
        <v/>
      </c>
      <c r="C6" s="92">
        <f>COUNTIFS('Master Events'!$D$5:$D$147,$A6,'Master Events'!$AC$5:$AC$147,"Yes",'Master Events'!$R$5:$R$147,"Yes")</f>
        <v/>
      </c>
      <c r="D6" s="92">
        <f>SUMIFS('Master Events'!$AQ$5:$AQ$147,'Master Events'!$D$5:$D$147,$A6)</f>
        <v/>
      </c>
      <c r="E6" s="92">
        <f>SUMIFS('Master Events'!$AR$5:$AR$147,'Master Events'!$D$5:$D$147,$A6)</f>
        <v/>
      </c>
      <c r="F6" s="92">
        <f>SUMIFS('Master Events'!$AS$5:$AS$147,'Master Events'!$D$5:$D$147,$A6)</f>
        <v/>
      </c>
      <c r="G6" s="92">
        <f>SUMIFS('Master Events'!$AT$5:$AT$147,'Master Events'!$D$5:$D$147,$A6)</f>
        <v/>
      </c>
      <c r="H6" s="92">
        <f>SUMIFS('Master Events'!$AU$5:$AU$147,'Master Events'!$D$5:$D$147,$A6)</f>
        <v/>
      </c>
      <c r="I6" s="92">
        <f>COUNTIFS('Master Events'!$D$5:$D$147,$A6,'Master Events'!$AC$5:$AC$147,"Yes",'Master Events'!$AA$5:$AA$147,"Development / Validation")</f>
        <v/>
      </c>
      <c r="J6" s="92">
        <f>B6-C6-I6</f>
        <v/>
      </c>
      <c r="K6" s="92">
        <f>E6</f>
        <v/>
      </c>
      <c r="L6" s="92" t="n">
        <v>4</v>
      </c>
      <c r="M6" s="97">
        <f>IF(C6=0,0,L6/C6)</f>
        <v/>
      </c>
    </row>
    <row r="7">
      <c r="A7" s="92" t="n">
        <v>2022</v>
      </c>
      <c r="B7" s="92">
        <f>COUNTIFS('Master Events'!$D$5:$D$147,$A7,'Master Events'!$AC$5:$AC$147,"Yes")</f>
        <v/>
      </c>
      <c r="C7" s="92">
        <f>COUNTIFS('Master Events'!$D$5:$D$147,$A7,'Master Events'!$AC$5:$AC$147,"Yes",'Master Events'!$R$5:$R$147,"Yes")</f>
        <v/>
      </c>
      <c r="D7" s="92">
        <f>SUMIFS('Master Events'!$AQ$5:$AQ$147,'Master Events'!$D$5:$D$147,$A7)</f>
        <v/>
      </c>
      <c r="E7" s="92">
        <f>SUMIFS('Master Events'!$AR$5:$AR$147,'Master Events'!$D$5:$D$147,$A7)</f>
        <v/>
      </c>
      <c r="F7" s="92">
        <f>SUMIFS('Master Events'!$AS$5:$AS$147,'Master Events'!$D$5:$D$147,$A7)</f>
        <v/>
      </c>
      <c r="G7" s="92">
        <f>SUMIFS('Master Events'!$AT$5:$AT$147,'Master Events'!$D$5:$D$147,$A7)</f>
        <v/>
      </c>
      <c r="H7" s="92">
        <f>SUMIFS('Master Events'!$AU$5:$AU$147,'Master Events'!$D$5:$D$147,$A7)</f>
        <v/>
      </c>
      <c r="I7" s="92">
        <f>COUNTIFS('Master Events'!$D$5:$D$147,$A7,'Master Events'!$AC$5:$AC$147,"Yes",'Master Events'!$AA$5:$AA$147,"Development / Validation")</f>
        <v/>
      </c>
      <c r="J7" s="92">
        <f>B7-C7-I7</f>
        <v/>
      </c>
      <c r="K7" s="92">
        <f>E7</f>
        <v/>
      </c>
      <c r="L7" s="92" t="n">
        <v>4</v>
      </c>
      <c r="M7" s="97">
        <f>IF(C7=0,0,L7/C7)</f>
        <v/>
      </c>
    </row>
    <row r="8">
      <c r="A8" s="92" t="n">
        <v>2023</v>
      </c>
      <c r="B8" s="92">
        <f>COUNTIFS('Master Events'!$D$5:$D$147,$A8,'Master Events'!$AC$5:$AC$147,"Yes")</f>
        <v/>
      </c>
      <c r="C8" s="92">
        <f>COUNTIFS('Master Events'!$D$5:$D$147,$A8,'Master Events'!$AC$5:$AC$147,"Yes",'Master Events'!$R$5:$R$147,"Yes")</f>
        <v/>
      </c>
      <c r="D8" s="92">
        <f>SUMIFS('Master Events'!$AQ$5:$AQ$147,'Master Events'!$D$5:$D$147,$A8)</f>
        <v/>
      </c>
      <c r="E8" s="92">
        <f>SUMIFS('Master Events'!$AR$5:$AR$147,'Master Events'!$D$5:$D$147,$A8)</f>
        <v/>
      </c>
      <c r="F8" s="92">
        <f>SUMIFS('Master Events'!$AS$5:$AS$147,'Master Events'!$D$5:$D$147,$A8)</f>
        <v/>
      </c>
      <c r="G8" s="92">
        <f>SUMIFS('Master Events'!$AT$5:$AT$147,'Master Events'!$D$5:$D$147,$A8)</f>
        <v/>
      </c>
      <c r="H8" s="92">
        <f>SUMIFS('Master Events'!$AU$5:$AU$147,'Master Events'!$D$5:$D$147,$A8)</f>
        <v/>
      </c>
      <c r="I8" s="92">
        <f>COUNTIFS('Master Events'!$D$5:$D$147,$A8,'Master Events'!$AC$5:$AC$147,"Yes",'Master Events'!$AA$5:$AA$147,"Development / Validation")</f>
        <v/>
      </c>
      <c r="J8" s="92">
        <f>B8-C8-I8</f>
        <v/>
      </c>
      <c r="K8" s="92">
        <f>E8</f>
        <v/>
      </c>
      <c r="L8" s="92" t="n">
        <v>2</v>
      </c>
      <c r="M8" s="97">
        <f>IF(C8=0,0,L8/C8)</f>
        <v/>
      </c>
    </row>
    <row r="9">
      <c r="A9" s="92" t="n">
        <v>2024</v>
      </c>
      <c r="B9" s="92">
        <f>COUNTIFS('Master Events'!$D$5:$D$147,$A9,'Master Events'!$AC$5:$AC$147,"Yes")</f>
        <v/>
      </c>
      <c r="C9" s="92">
        <f>COUNTIFS('Master Events'!$D$5:$D$147,$A9,'Master Events'!$AC$5:$AC$147,"Yes",'Master Events'!$R$5:$R$147,"Yes")</f>
        <v/>
      </c>
      <c r="D9" s="92">
        <f>SUMIFS('Master Events'!$AQ$5:$AQ$147,'Master Events'!$D$5:$D$147,$A9)</f>
        <v/>
      </c>
      <c r="E9" s="92">
        <f>SUMIFS('Master Events'!$AR$5:$AR$147,'Master Events'!$D$5:$D$147,$A9)</f>
        <v/>
      </c>
      <c r="F9" s="92">
        <f>SUMIFS('Master Events'!$AS$5:$AS$147,'Master Events'!$D$5:$D$147,$A9)</f>
        <v/>
      </c>
      <c r="G9" s="92">
        <f>SUMIFS('Master Events'!$AT$5:$AT$147,'Master Events'!$D$5:$D$147,$A9)</f>
        <v/>
      </c>
      <c r="H9" s="92">
        <f>SUMIFS('Master Events'!$AU$5:$AU$147,'Master Events'!$D$5:$D$147,$A9)</f>
        <v/>
      </c>
      <c r="I9" s="92">
        <f>COUNTIFS('Master Events'!$D$5:$D$147,$A9,'Master Events'!$AC$5:$AC$147,"Yes",'Master Events'!$AA$5:$AA$147,"Development / Validation")</f>
        <v/>
      </c>
      <c r="J9" s="92">
        <f>B9-C9-I9</f>
        <v/>
      </c>
      <c r="K9" s="92">
        <f>E9</f>
        <v/>
      </c>
      <c r="L9" s="92" t="n">
        <v>3</v>
      </c>
      <c r="M9" s="97">
        <f>IF(C9=0,0,L9/C9)</f>
        <v/>
      </c>
    </row>
    <row r="10">
      <c r="A10" s="92" t="n">
        <v>2025</v>
      </c>
      <c r="B10" s="92">
        <f>COUNTIFS('Master Events'!$D$5:$D$147,$A10,'Master Events'!$AC$5:$AC$147,"Yes")</f>
        <v/>
      </c>
      <c r="C10" s="92">
        <f>COUNTIFS('Master Events'!$D$5:$D$147,$A10,'Master Events'!$AC$5:$AC$147,"Yes",'Master Events'!$R$5:$R$147,"Yes")</f>
        <v/>
      </c>
      <c r="D10" s="92">
        <f>SUMIFS('Master Events'!$AQ$5:$AQ$147,'Master Events'!$D$5:$D$147,$A10)</f>
        <v/>
      </c>
      <c r="E10" s="92">
        <f>SUMIFS('Master Events'!$AR$5:$AR$147,'Master Events'!$D$5:$D$147,$A10)</f>
        <v/>
      </c>
      <c r="F10" s="92">
        <f>SUMIFS('Master Events'!$AS$5:$AS$147,'Master Events'!$D$5:$D$147,$A10)</f>
        <v/>
      </c>
      <c r="G10" s="92">
        <f>SUMIFS('Master Events'!$AT$5:$AT$147,'Master Events'!$D$5:$D$147,$A10)</f>
        <v/>
      </c>
      <c r="H10" s="92">
        <f>SUMIFS('Master Events'!$AU$5:$AU$147,'Master Events'!$D$5:$D$147,$A10)</f>
        <v/>
      </c>
      <c r="I10" s="92">
        <f>COUNTIFS('Master Events'!$D$5:$D$147,$A10,'Master Events'!$AC$5:$AC$147,"Yes",'Master Events'!$AA$5:$AA$147,"Development / Validation")</f>
        <v/>
      </c>
      <c r="J10" s="92">
        <f>B10-C10-I10</f>
        <v/>
      </c>
      <c r="K10" s="92">
        <f>E10</f>
        <v/>
      </c>
      <c r="L10" s="92" t="n">
        <v>13</v>
      </c>
      <c r="M10" s="97">
        <f>IF(C10=0,0,L10/C10)</f>
        <v/>
      </c>
    </row>
    <row r="11">
      <c r="A11" s="92" t="n">
        <v>2026</v>
      </c>
      <c r="B11" s="92">
        <f>COUNTIFS('Master Events'!$D$5:$D$147,$A11,'Master Events'!$AC$5:$AC$147,"Yes")</f>
        <v/>
      </c>
      <c r="C11" s="92">
        <f>COUNTIFS('Master Events'!$D$5:$D$147,$A11,'Master Events'!$AC$5:$AC$147,"Yes",'Master Events'!$R$5:$R$147,"Yes")</f>
        <v/>
      </c>
      <c r="D11" s="92">
        <f>SUMIFS('Master Events'!$AQ$5:$AQ$147,'Master Events'!$D$5:$D$147,$A11)</f>
        <v/>
      </c>
      <c r="E11" s="92">
        <f>SUMIFS('Master Events'!$AR$5:$AR$147,'Master Events'!$D$5:$D$147,$A11)</f>
        <v/>
      </c>
      <c r="F11" s="92">
        <f>SUMIFS('Master Events'!$AS$5:$AS$147,'Master Events'!$D$5:$D$147,$A11)</f>
        <v/>
      </c>
      <c r="G11" s="92">
        <f>SUMIFS('Master Events'!$AT$5:$AT$147,'Master Events'!$D$5:$D$147,$A11)</f>
        <v/>
      </c>
      <c r="H11" s="92">
        <f>SUMIFS('Master Events'!$AU$5:$AU$147,'Master Events'!$D$5:$D$147,$A11)</f>
        <v/>
      </c>
      <c r="I11" s="92">
        <f>COUNTIFS('Master Events'!$D$5:$D$147,$A11,'Master Events'!$AC$5:$AC$147,"Yes",'Master Events'!$AA$5:$AA$147,"Development / Validation")</f>
        <v/>
      </c>
      <c r="J11" s="92">
        <f>B11-C11-I11</f>
        <v/>
      </c>
      <c r="K11" s="92">
        <f>E11</f>
        <v/>
      </c>
      <c r="L11" s="92" t="n">
        <v>4</v>
      </c>
      <c r="M11" s="97">
        <f>IF(C11=0,0,L11/C11)</f>
        <v/>
      </c>
    </row>
    <row r="14" ht="28" customHeight="1">
      <c r="A14" s="110" t="inlineStr">
        <is>
          <t>Interpretation</t>
        </is>
      </c>
      <c r="B14" s="93" t="n"/>
      <c r="C14" s="93" t="n"/>
      <c r="D14" s="93" t="n"/>
      <c r="E14" s="93" t="n"/>
      <c r="F14" s="93" t="n"/>
      <c r="G14" s="93" t="n"/>
      <c r="H14" s="93" t="n"/>
      <c r="I14" s="93" t="n"/>
      <c r="J14" s="93" t="n"/>
      <c r="K14" s="93" t="n"/>
      <c r="L14" s="93" t="n"/>
      <c r="M14" s="94" t="n"/>
    </row>
    <row r="15" ht="54" customHeight="1">
      <c r="A15" s="111" t="inlineStr">
        <is>
          <t>The broader activity-base finding is strengthened, but order growth remains uneven and concentrated: ULCANS represents 92.9% of 2020 orders and 80.0% of 2021 orders; Japan MEDS represents 72.2% of 2025 orders. No continuous order-volume growth or market CAGR is established.</t>
        </is>
      </c>
      <c r="B15" s="93" t="n"/>
      <c r="C15" s="93" t="n"/>
      <c r="D15" s="93" t="n"/>
      <c r="E15" s="93" t="n"/>
      <c r="F15" s="93" t="n"/>
      <c r="G15" s="93" t="n"/>
      <c r="H15" s="93" t="n"/>
      <c r="I15" s="93" t="n"/>
      <c r="J15" s="93" t="n"/>
      <c r="K15" s="93" t="n"/>
      <c r="L15" s="93" t="n"/>
      <c r="M15" s="94" t="n"/>
    </row>
    <row r="16">
      <c r="A16" s="20" t="n"/>
      <c r="B16" s="20" t="n"/>
      <c r="C16" s="20" t="n"/>
      <c r="D16" s="20" t="n"/>
      <c r="E16" s="20" t="n"/>
      <c r="F16" s="20" t="n"/>
      <c r="G16" s="20" t="n"/>
      <c r="H16" s="20" t="n"/>
      <c r="I16" s="20" t="n"/>
      <c r="J16" s="20" t="n"/>
      <c r="K16" s="20" t="n"/>
      <c r="L16" s="20" t="n"/>
    </row>
    <row r="17">
      <c r="A17" s="20" t="n"/>
      <c r="B17" s="20" t="n"/>
      <c r="C17" s="20" t="n"/>
      <c r="D17" s="20" t="n"/>
      <c r="E17" s="20" t="n"/>
      <c r="F17" s="20" t="n"/>
      <c r="G17" s="20" t="n"/>
      <c r="H17" s="20" t="n"/>
      <c r="I17" s="20" t="n"/>
      <c r="J17" s="20" t="n"/>
      <c r="K17" s="20" t="n"/>
      <c r="L17" s="20" t="n"/>
    </row>
    <row r="18">
      <c r="A18" s="20" t="n"/>
      <c r="B18" s="20" t="n"/>
      <c r="C18" s="20" t="n"/>
      <c r="D18" s="20" t="n"/>
      <c r="E18" s="20" t="n"/>
      <c r="F18" s="20" t="n"/>
      <c r="G18" s="20" t="n"/>
      <c r="H18" s="20" t="n"/>
      <c r="I18" s="20" t="n"/>
      <c r="J18" s="20" t="n"/>
      <c r="K18" s="20" t="n"/>
      <c r="L18" s="20" t="n"/>
    </row>
  </sheetData>
  <mergeCells count="7">
    <mergeCell ref="A2:L2"/>
    <mergeCell ref="A14:M14"/>
    <mergeCell ref="A1:M1"/>
    <mergeCell ref="A1:L1"/>
    <mergeCell ref="A14:L14"/>
    <mergeCell ref="A15:M15"/>
    <mergeCell ref="A2:M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activeCell="A1" sqref="A1"/>
    </sheetView>
  </sheetViews>
  <sheetFormatPr baseColWidth="8" defaultRowHeight="15"/>
  <cols>
    <col width="32" customWidth="1" min="1" max="1"/>
    <col width="14" customWidth="1" min="2" max="2"/>
    <col width="14" customWidth="1" min="3" max="3"/>
    <col width="70" customWidth="1" min="4" max="4"/>
    <col width="72" customWidth="1" min="5" max="5"/>
  </cols>
  <sheetData>
    <row r="1" ht="30" customHeight="1">
      <c r="A1" s="37" t="inlineStr">
        <is>
          <t>Final Change Log — Previous Authoritative Workbook to QA-Corrected Workbook</t>
        </is>
      </c>
    </row>
    <row r="2" ht="32" customHeight="1">
      <c r="A2" s="6" t="inlineStr">
        <is>
          <t>Old totals are the pre-QA 144 / 112 / 72 / 35 / 32 figures.</t>
        </is>
      </c>
    </row>
    <row r="4" ht="28" customHeight="1">
      <c r="A4" s="39" t="inlineStr">
        <is>
          <t>Metric / issue</t>
        </is>
      </c>
      <c r="B4" s="39" t="inlineStr">
        <is>
          <t>Old</t>
        </is>
      </c>
      <c r="C4" s="39" t="inlineStr">
        <is>
          <t>Final</t>
        </is>
      </c>
      <c r="D4" s="39" t="inlineStr">
        <is>
          <t>Why changed</t>
        </is>
      </c>
      <c r="E4" s="16" t="n"/>
    </row>
    <row r="5">
      <c r="A5" s="20" t="inlineStr">
        <is>
          <t>Headline — retained events</t>
        </is>
      </c>
      <c r="B5" s="20" t="n">
        <v>144</v>
      </c>
      <c r="C5" s="20" t="n">
        <v>143</v>
      </c>
      <c r="D5" s="20" t="inlineStr">
        <is>
          <t>Two duplicate representations removed; one missing BERBERYS contract added.</t>
        </is>
      </c>
      <c r="E5" s="20" t="n"/>
    </row>
    <row r="6">
      <c r="A6" s="20" t="inlineStr">
        <is>
          <t>Headline — core land events</t>
        </is>
      </c>
      <c r="B6" s="20" t="n">
        <v>112</v>
      </c>
      <c r="C6" s="20" t="n">
        <v>115</v>
      </c>
      <c r="D6" s="20" t="inlineStr">
        <is>
          <t>Domain/end-use corrections, duplicate removal, programme-scale exclusion and one added contract.</t>
        </is>
      </c>
      <c r="E6" s="20" t="n"/>
    </row>
    <row r="7">
      <c r="A7" s="20" t="inlineStr">
        <is>
          <t>Headline — contextual events</t>
        </is>
      </c>
      <c r="B7" s="20" t="n">
        <v>32</v>
      </c>
      <c r="C7" s="20" t="n">
        <v>28</v>
      </c>
      <c r="D7" s="20" t="inlineStr">
        <is>
          <t>Several buyer-inferred contextual rows moved to land core; early Ametrine and MEDS scale retained only as context.</t>
        </is>
      </c>
      <c r="E7" s="20" t="n"/>
    </row>
    <row r="8">
      <c r="A8" s="20" t="inlineStr">
        <is>
          <t>Headline — Actual Orders</t>
        </is>
      </c>
      <c r="B8" s="20" t="n">
        <v>72</v>
      </c>
      <c r="C8" s="20" t="n">
        <v>76</v>
      </c>
      <c r="D8" s="20" t="inlineStr">
        <is>
          <t>FENRIR, X-Hangar PO, Moody AFB and WB Electronics BERBERYS added to core order count.</t>
        </is>
      </c>
      <c r="E8" s="20" t="n"/>
    </row>
    <row r="9">
      <c r="A9" s="20" t="inlineStr">
        <is>
          <t>Headline — core programme families</t>
        </is>
      </c>
      <c r="B9" s="20" t="n">
        <v>35</v>
      </c>
      <c r="C9" s="20" t="n">
        <v>34</v>
      </c>
      <c r="D9" s="20" t="inlineStr">
        <is>
          <t>ULCANS, Sterlite and CNELS family merges; scope additions/exclusions and BERBERYS addition partly offset.</t>
        </is>
      </c>
      <c r="E9" s="20" t="n"/>
    </row>
    <row r="10">
      <c r="A10" s="20" t="inlineStr">
        <is>
          <t>2024 Actual Orders</t>
        </is>
      </c>
      <c r="B10" s="20" t="n">
        <v>9</v>
      </c>
      <c r="C10" s="20" t="n">
        <v>13</v>
      </c>
      <c r="D10" s="20" t="inlineStr">
        <is>
          <t>FENRIR, Ametrine X-Hangar, Moody AFB and WB Electronics added.</t>
        </is>
      </c>
      <c r="E10" s="20" t="n"/>
    </row>
    <row r="11">
      <c r="A11" s="20" t="inlineStr">
        <is>
          <t>2025 Active Families</t>
        </is>
      </c>
      <c r="B11" s="20" t="n">
        <v>11</v>
      </c>
      <c r="C11" s="20" t="n">
        <v>9</v>
      </c>
      <c r="D11" s="20" t="inlineStr">
        <is>
          <t>ULCANS and Sterlite split families merged.</t>
        </is>
      </c>
      <c r="E11" s="20" t="n"/>
    </row>
    <row r="12">
      <c r="A12" s="20" t="inlineStr">
        <is>
          <t>2024 Unique Buyers</t>
        </is>
      </c>
      <c r="B12" s="20" t="n">
        <v>9</v>
      </c>
      <c r="C12" s="20" t="n">
        <v>11</v>
      </c>
      <c r="D12" s="20" t="inlineStr">
        <is>
          <t>Ametrine and WB Electronics added; Norwegian buyer labels consolidated.</t>
        </is>
      </c>
      <c r="E12" s="20" t="n"/>
    </row>
    <row r="13">
      <c r="A13" s="20" t="n"/>
      <c r="B13" s="20" t="n"/>
      <c r="C13" s="20" t="n"/>
      <c r="D13" s="20" t="n"/>
      <c r="E13" s="20" t="n"/>
    </row>
    <row r="14">
      <c r="A14" s="20" t="n"/>
      <c r="B14" s="20" t="n"/>
      <c r="C14" s="20" t="n"/>
      <c r="D14" s="20" t="n"/>
      <c r="E14" s="20" t="n"/>
    </row>
    <row r="15">
      <c r="A15" s="20" t="n"/>
      <c r="B15" s="20" t="n"/>
      <c r="C15" s="20" t="n"/>
      <c r="D15" s="20" t="n"/>
      <c r="E15" s="20" t="n"/>
    </row>
    <row r="16">
      <c r="A16" s="20" t="n"/>
      <c r="B16" s="20" t="n"/>
      <c r="C16" s="20" t="n"/>
      <c r="D16" s="20" t="n"/>
      <c r="E16" s="20" t="n"/>
    </row>
  </sheetData>
  <mergeCells count="4">
    <mergeCell ref="A2:E2"/>
    <mergeCell ref="A1:D1"/>
    <mergeCell ref="A1:E1"/>
    <mergeCell ref="A2:D2"/>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activeCell="A1" sqref="A1"/>
    </sheetView>
  </sheetViews>
  <sheetFormatPr baseColWidth="8" defaultRowHeight="15"/>
  <cols>
    <col width="36" customWidth="1" min="1" max="1"/>
    <col width="24" customWidth="1" min="2" max="2"/>
    <col width="90" customWidth="1" min="3" max="3"/>
    <col width="66" customWidth="1" min="4" max="4"/>
    <col width="66" customWidth="1" min="5" max="5"/>
  </cols>
  <sheetData>
    <row r="1" ht="30" customHeight="1">
      <c r="A1" s="37" t="inlineStr">
        <is>
          <t>Remaining Uncertainties / Completeness Risks</t>
        </is>
      </c>
    </row>
    <row r="2" ht="32" customHeight="1">
      <c r="A2" s="6" t="inlineStr">
        <is>
          <t>Items below are not converted into stronger evidence or quantitative claims.</t>
        </is>
      </c>
    </row>
    <row r="4" ht="28" customHeight="1">
      <c r="A4" s="39" t="inlineStr">
        <is>
          <t>Issue</t>
        </is>
      </c>
      <c r="B4" s="39" t="inlineStr">
        <is>
          <t>Status</t>
        </is>
      </c>
      <c r="C4" s="39" t="inlineStr">
        <is>
          <t>Final treatment / caveat</t>
        </is>
      </c>
      <c r="D4" s="16" t="n"/>
      <c r="E4" s="16" t="n"/>
    </row>
    <row r="5">
      <c r="A5" s="20" t="inlineStr">
        <is>
          <t>ULCANS generic 2023/2025 rows</t>
        </is>
      </c>
      <c r="B5" s="20" t="inlineStr">
        <is>
          <t>UNRESOLVED</t>
        </is>
      </c>
      <c r="C5" s="27" t="inlineStr">
        <is>
          <t>Three aggregator-derived order rows still lack PIIDs in the accessible summary. Retained as committed orders because the source layer classifies distinct awards, but PIID-level confirmation remains desirable.</t>
        </is>
      </c>
      <c r="D5" s="20" t="n"/>
      <c r="E5" s="20" t="n"/>
    </row>
    <row r="6">
      <c r="A6" s="20" t="inlineStr">
        <is>
          <t>Sterlite 1,622 MSCN award</t>
        </is>
      </c>
      <c r="B6" s="20" t="inlineStr">
        <is>
          <t>VERIFIED — secondary only</t>
        </is>
      </c>
      <c r="C6" s="28" t="inlineStr">
        <is>
          <t>Tender is primary; award quantity/value remain supported by secondary procurement results, not a retrieved primary award document.</t>
        </is>
      </c>
      <c r="D6" s="20" t="n"/>
      <c r="E6" s="20" t="n"/>
    </row>
    <row r="7">
      <c r="A7" s="20" t="inlineStr">
        <is>
          <t>Ametrine N0017320P0084 / N0017321P0970 end use</t>
        </is>
      </c>
      <c r="B7" s="20" t="inlineStr">
        <is>
          <t>UNRESOLVED</t>
        </is>
      </c>
      <c r="C7" s="28" t="inlineStr">
        <is>
          <t>Confirmed camouflage purchases, but no public platform/end-use evidence; retained contextual.</t>
        </is>
      </c>
      <c r="D7" s="20" t="n"/>
      <c r="E7" s="20" t="n"/>
    </row>
    <row r="8">
      <c r="A8" s="20" t="inlineStr">
        <is>
          <t>Ametrine CNELS award composition</t>
        </is>
      </c>
      <c r="B8" s="20" t="inlineStr">
        <is>
          <t>PARTIALLY VERIFIED</t>
        </is>
      </c>
      <c r="C8" s="27" t="inlineStr">
        <is>
          <t>Total FFP R&amp;D contract value is public; product/service and option line-item split is not. No value is treated as production sales.</t>
        </is>
      </c>
      <c r="D8" s="20" t="n"/>
      <c r="E8" s="20" t="n"/>
    </row>
    <row r="9">
      <c r="A9" s="20" t="inlineStr">
        <is>
          <t>Japan MEDS 26,000</t>
        </is>
      </c>
      <c r="B9" s="20" t="inlineStr">
        <is>
          <t>UNRESOLVED</t>
        </is>
      </c>
      <c r="C9" s="29" t="inlineStr">
        <is>
          <t>Programme scale only; not an order or contracted quantity and excluded from unit totals.</t>
        </is>
      </c>
      <c r="D9" s="20" t="n"/>
      <c r="E9" s="20" t="n"/>
    </row>
    <row r="10">
      <c r="A10" s="20" t="inlineStr">
        <is>
          <t>Japan MEDS supplier relationship</t>
        </is>
      </c>
      <c r="B10" s="20" t="inlineStr">
        <is>
          <t>VERIFIED WITH ROLE CAVEAT</t>
        </is>
      </c>
      <c r="C10" s="29" t="inlineStr">
        <is>
          <t>NAS is the contracting supplier and Fibrotex the technology supplier; treated as one programme-team supplier for active-supplier metrics.</t>
        </is>
      </c>
      <c r="D10" s="20" t="n"/>
      <c r="E10" s="20" t="n"/>
    </row>
    <row r="11">
      <c r="A11" s="20" t="inlineStr">
        <is>
          <t>Sweden 2023 framework call-offs</t>
        </is>
      </c>
      <c r="B11" s="20" t="inlineStr">
        <is>
          <t>UNRESOLVED</t>
        </is>
      </c>
      <c r="C11" s="27" t="inlineStr">
        <is>
          <t>Framework is verified; no public call-off IDs/values/quantities located.</t>
        </is>
      </c>
      <c r="D11" s="20" t="n"/>
      <c r="E11" s="20" t="n"/>
    </row>
    <row r="12">
      <c r="A12" s="20" t="inlineStr">
        <is>
          <t>Denmark 2025 fielding</t>
        </is>
      </c>
      <c r="B12" s="20" t="inlineStr">
        <is>
          <t>VERIFIED — fielding only</t>
        </is>
      </c>
      <c r="C12" s="29" t="inlineStr">
        <is>
          <t>No public underlying order located; not counted as Actual Order.</t>
        </is>
      </c>
      <c r="D12" s="20" t="n"/>
      <c r="E12" s="20" t="n"/>
    </row>
    <row r="13">
      <c r="A13" s="20" t="inlineStr">
        <is>
          <t>Public-procurement completeness</t>
        </is>
      </c>
      <c r="B13" s="20" t="inlineStr">
        <is>
          <t>STRUCTURAL RISK</t>
        </is>
      </c>
      <c r="C13" s="27" t="inlineStr">
        <is>
          <t>Classified contracts, undisclosed reseller/prime arrangements, non-indexed local portals and absent call-off IDs can still hide activity.</t>
        </is>
      </c>
      <c r="D13" s="20" t="n"/>
      <c r="E13" s="20" t="n"/>
    </row>
    <row r="14">
      <c r="A14" s="20" t="n"/>
      <c r="B14" s="20" t="n"/>
      <c r="C14" s="27" t="n"/>
      <c r="D14" s="20" t="n"/>
      <c r="E14" s="20" t="n"/>
    </row>
    <row r="15">
      <c r="A15" s="20" t="n"/>
      <c r="B15" s="20" t="n"/>
      <c r="C15" s="28" t="n"/>
      <c r="D15" s="20" t="n"/>
      <c r="E15" s="20" t="n"/>
    </row>
    <row r="16">
      <c r="A16" s="20" t="n"/>
      <c r="B16" s="20" t="n"/>
      <c r="C16" s="27" t="n"/>
      <c r="D16" s="20" t="n"/>
      <c r="E16" s="20" t="n"/>
    </row>
    <row r="17">
      <c r="A17" s="20" t="n"/>
      <c r="B17" s="20" t="n"/>
      <c r="C17" s="29" t="n"/>
      <c r="D17" s="20" t="n"/>
      <c r="E17" s="20" t="n"/>
    </row>
  </sheetData>
  <mergeCells count="4">
    <mergeCell ref="A2:E2"/>
    <mergeCell ref="A1:E1"/>
    <mergeCell ref="A2:C2"/>
    <mergeCell ref="A1:C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activeCell="A1" sqref="A1"/>
    </sheetView>
  </sheetViews>
  <sheetFormatPr baseColWidth="8" defaultRowHeight="15"/>
  <cols>
    <col width="22" customWidth="1" min="1" max="1"/>
    <col width="22" customWidth="1" min="2" max="2"/>
    <col width="32" customWidth="1" min="3" max="3"/>
    <col width="32" customWidth="1" min="4" max="4"/>
    <col width="32" customWidth="1" min="5" max="5"/>
    <col width="32" customWidth="1" min="6" max="6"/>
    <col width="32" customWidth="1" min="7" max="7"/>
  </cols>
  <sheetData>
    <row r="1" ht="30" customHeight="1">
      <c r="A1" s="37" t="inlineStr">
        <is>
          <t>QA Issues / Resolutions — Final Audit Trail</t>
        </is>
      </c>
    </row>
    <row r="2" ht="32" customHeight="1">
      <c r="A2" s="6" t="inlineStr">
        <is>
          <t>Confirmed corrections, rejected/limited hypotheses and metric impact. Evidence URLs remain in Master Events.</t>
        </is>
      </c>
    </row>
    <row r="4" ht="28" customHeight="1">
      <c r="A4" s="39" t="inlineStr">
        <is>
          <t>Issue</t>
        </is>
      </c>
      <c r="B4" s="39" t="inlineStr">
        <is>
          <t>Event ID(s)</t>
        </is>
      </c>
      <c r="C4" s="39" t="inlineStr">
        <is>
          <t>Old classification / family / value</t>
        </is>
      </c>
      <c r="D4" s="52" t="inlineStr">
        <is>
          <t>Corrected classification / family / value</t>
        </is>
      </c>
      <c r="E4" s="52" t="inlineStr">
        <is>
          <t>Reason</t>
        </is>
      </c>
      <c r="F4" s="52" t="inlineStr">
        <is>
          <t>Evidence</t>
        </is>
      </c>
      <c r="G4" s="52" t="inlineStr">
        <is>
          <t>Impact on metrics</t>
        </is>
      </c>
    </row>
    <row r="5">
      <c r="A5" s="20" t="inlineStr">
        <is>
          <t>FENRIR domain</t>
        </is>
      </c>
      <c r="B5" s="20" t="inlineStr">
        <is>
          <t>SM-0058</t>
        </is>
      </c>
      <c r="C5" s="20" t="inlineStr">
        <is>
          <t>Maritime / contextual</t>
        </is>
      </c>
      <c r="D5" s="19" t="inlineStr">
        <is>
          <t>Land / core</t>
        </is>
      </c>
      <c r="E5" s="19" t="inlineStr">
        <is>
          <t>DGA order covers Army/Air Force command posts, vehicles, weapons and sensors; end use is land/static, not maritime.</t>
        </is>
      </c>
      <c r="F5" s="19" t="inlineStr">
        <is>
          <t>Official DGA notice</t>
        </is>
      </c>
      <c r="G5" s="19" t="inlineStr">
        <is>
          <t>+1 core event; +1 order in 2024</t>
        </is>
      </c>
    </row>
    <row r="6">
      <c r="A6" s="20" t="inlineStr">
        <is>
          <t>ULCANS family split</t>
        </is>
      </c>
      <c r="B6" s="20" t="inlineStr">
        <is>
          <t>SM-0033; SM-0103</t>
        </is>
      </c>
      <c r="C6" s="20" t="inlineStr">
        <is>
          <t>US-ULCANS-2018</t>
        </is>
      </c>
      <c r="D6" s="19" t="inlineStr">
        <is>
          <t>ULCANS-IDV-W911QY18D0210</t>
        </is>
      </c>
      <c r="E6" s="19" t="inlineStr">
        <is>
          <t>Same 2018 parent IDIQ / ULCANS procurement chain.</t>
        </is>
      </c>
      <c r="F6" s="19" t="inlineStr">
        <is>
          <t>Parent contract W911QY18D0210 and lifecycle descriptions</t>
        </is>
      </c>
      <c r="G6" s="19" t="inlineStr">
        <is>
          <t>-1 core family in 2021 and 2025 active-family counts</t>
        </is>
      </c>
    </row>
    <row r="7">
      <c r="A7" s="20" t="inlineStr">
        <is>
          <t>ULCANS duplicate publication</t>
        </is>
      </c>
      <c r="B7" s="20" t="inlineStr">
        <is>
          <t>SM-0033 / SM-0026</t>
        </is>
      </c>
      <c r="C7" s="20" t="inlineStr">
        <is>
          <t>Two design-review events</t>
        </is>
      </c>
      <c r="D7" s="19" t="inlineStr">
        <is>
          <t>SM-0033 removed</t>
        </is>
      </c>
      <c r="E7" s="19" t="inlineStr">
        <is>
          <t>Same $425k design-review milestone; one row lacked a date and duplicated the sourced record.</t>
        </is>
      </c>
      <c r="F7" s="19" t="inlineStr">
        <is>
          <t>Same amount, purpose and source trail</t>
        </is>
      </c>
      <c r="G7" s="19" t="inlineStr">
        <is>
          <t>-1 retained/core event in 2021; no order impact</t>
        </is>
      </c>
    </row>
    <row r="8">
      <c r="A8" s="20" t="inlineStr">
        <is>
          <t>Sterlite family split</t>
        </is>
      </c>
      <c r="B8" s="20" t="inlineStr">
        <is>
          <t>SM-0080; SM-0143</t>
        </is>
      </c>
      <c r="C8" s="20" t="inlineStr">
        <is>
          <t>IN-GEM-5756973 / IN-1622-MSCN-2025-26</t>
        </is>
      </c>
      <c r="D8" s="19" t="inlineStr">
        <is>
          <t>IN-GEM-5756973</t>
        </is>
      </c>
      <c r="E8" s="19" t="inlineStr">
        <is>
          <t>Same GeM procurement: 1,622 MSCN tender followed by reported award.</t>
        </is>
      </c>
      <c r="F8" s="19" t="inlineStr">
        <is>
          <t>GeM bid number, quantity and award source</t>
        </is>
      </c>
      <c r="G8" s="19" t="inlineStr">
        <is>
          <t>-1 core family</t>
        </is>
      </c>
    </row>
    <row r="9">
      <c r="A9" s="20" t="inlineStr">
        <is>
          <t>Sterlite duplicate tender</t>
        </is>
      </c>
      <c r="B9" s="20" t="inlineStr">
        <is>
          <t>SM-0112 / SM-0080</t>
        </is>
      </c>
      <c r="C9" s="20" t="inlineStr">
        <is>
          <t>Two tender rows</t>
        </is>
      </c>
      <c r="D9" s="19" t="inlineStr">
        <is>
          <t>SM-0112 removed</t>
        </is>
      </c>
      <c r="E9" s="19" t="inlineStr">
        <is>
          <t>Secondary result page repeated the same tender already represented by the official GeM bid row.</t>
        </is>
      </c>
      <c r="F9" s="19" t="inlineStr">
        <is>
          <t>Same quantity, supplier, procurement outcome and source chain</t>
        </is>
      </c>
      <c r="G9" s="19" t="inlineStr">
        <is>
          <t>-1 retained/core event in 2025</t>
        </is>
      </c>
    </row>
    <row r="10">
      <c r="A10" s="20" t="inlineStr">
        <is>
          <t>Ametrine CNELS family split</t>
        </is>
      </c>
      <c r="B10" s="20" t="inlineStr">
        <is>
          <t>SM-0047; SM-0063; SM-0064; SM-0084; SM-0107; SM-0111</t>
        </is>
      </c>
      <c r="C10" s="20" t="inlineStr">
        <is>
          <t>Four family IDs</t>
        </is>
      </c>
      <c r="D10" s="19" t="inlineStr">
        <is>
          <t>AME-CNELS-XHANGAR-2023-25</t>
        </is>
      </c>
      <c r="E10" s="19" t="inlineStr">
        <is>
          <t>Chronology and requirement purpose show one CNELS / X-Hangar development and transition chain.</t>
        </is>
      </c>
      <c r="F10" s="19" t="inlineStr">
        <is>
          <t>PIIDs and N0017325RDH03 synopsis</t>
        </is>
      </c>
      <c r="G10" s="19" t="inlineStr">
        <is>
          <t>-1 core family overall; active families reduced in 2025</t>
        </is>
      </c>
    </row>
    <row r="11">
      <c r="A11" s="20" t="inlineStr">
        <is>
          <t>Ametrine 2024/25 domain</t>
        </is>
      </c>
      <c r="B11" s="20" t="inlineStr">
        <is>
          <t>SM-0063; SM-0064; SM-0111</t>
        </is>
      </c>
      <c r="C11" s="20" t="inlineStr">
        <is>
          <t>Maritime / contextual</t>
        </is>
      </c>
      <c r="D11" s="19" t="inlineStr">
        <is>
          <t>Land / core</t>
        </is>
      </c>
      <c r="E11" s="19" t="inlineStr">
        <is>
          <t>X-Hangar is an expeditionary shelter/camouflage system for USMC/USAF field testing; Navy contracting office does not make it maritime.</t>
        </is>
      </c>
      <c r="F11" s="19" t="inlineStr">
        <is>
          <t>Federal award descriptions and NRL notice</t>
        </is>
      </c>
      <c r="G11" s="19" t="inlineStr">
        <is>
          <t>+3 core events; +1 order in 2024</t>
        </is>
      </c>
    </row>
    <row r="12">
      <c r="A12" s="20" t="inlineStr">
        <is>
          <t>Ametrine 2025 notice/value</t>
        </is>
      </c>
      <c r="B12" s="20" t="inlineStr">
        <is>
          <t>SM-0107; SM-0111</t>
        </is>
      </c>
      <c r="C12" s="20" t="inlineStr">
        <is>
          <t>RFP dated 3 Jul; award value blank</t>
        </is>
      </c>
      <c r="D12" s="19" t="inlineStr">
        <is>
          <t>Sole-source notice dated 29 May; FFP award $18,124,872.04</t>
        </is>
      </c>
      <c r="E12" s="19" t="inlineStr">
        <is>
          <t>Public notice states no solicitation would be issued; award record discloses committed FFP R&amp;D contract.</t>
        </is>
      </c>
      <c r="F12" s="19" t="inlineStr">
        <is>
          <t>N0017325RDH03 / N0017325C2461</t>
        </is>
      </c>
      <c r="G12" s="19" t="inlineStr">
        <is>
          <t>No order impact; +1 2025 development event</t>
        </is>
      </c>
    </row>
    <row r="13">
      <c r="A13" s="20" t="inlineStr">
        <is>
          <t>Ametrine early end-use</t>
        </is>
      </c>
      <c r="B13" s="20" t="inlineStr">
        <is>
          <t>SM-0002; SM-0031</t>
        </is>
      </c>
      <c r="C13" s="20" t="inlineStr">
        <is>
          <t>Land / Maritime inferred from NRL</t>
        </is>
      </c>
      <c r="D13" s="19" t="inlineStr">
        <is>
          <t>Other / contextual</t>
        </is>
      </c>
      <c r="E13" s="19" t="inlineStr">
        <is>
          <t>Product names are public but end-use/platform is not; buyer identity alone is insufficient.</t>
        </is>
      </c>
      <c r="F13" s="19" t="inlineStr">
        <is>
          <t>Federal award descriptions</t>
        </is>
      </c>
      <c r="G13" s="19" t="inlineStr">
        <is>
          <t>-1 core event/family in 2020</t>
        </is>
      </c>
    </row>
    <row r="14">
      <c r="A14" s="20" t="inlineStr">
        <is>
          <t>Moody AFB domain/scope</t>
        </is>
      </c>
      <c r="B14" s="20" t="inlineStr">
        <is>
          <t>SM-0073</t>
        </is>
      </c>
      <c r="C14" s="20" t="inlineStr">
        <is>
          <t>Aviation / contextual</t>
        </is>
      </c>
      <c r="D14" s="19" t="inlineStr">
        <is>
          <t>Land-Personnel mixed / core</t>
        </is>
      </c>
      <c r="E14" s="19" t="inlineStr">
        <is>
          <t>Commercial order contains field-expedient camouflage kits plus ponchos; it is neither aviation-only nor soldier-only.</t>
        </is>
      </c>
      <c r="F14" s="19" t="inlineStr">
        <is>
          <t>FA483024P0076 award and solicitation</t>
        </is>
      </c>
      <c r="G14" s="19" t="inlineStr">
        <is>
          <t>+1 core event/order in 2024</t>
        </is>
      </c>
    </row>
    <row r="15">
      <c r="A15" s="20" t="inlineStr">
        <is>
          <t>ArmorWorks TactiCam scope</t>
        </is>
      </c>
      <c r="B15" s="20" t="inlineStr">
        <is>
          <t>SM-0021</t>
        </is>
      </c>
      <c r="C15" s="20" t="inlineStr">
        <is>
          <t>Personnel/mixed contextual</t>
        </is>
      </c>
      <c r="D15" s="19" t="inlineStr">
        <is>
          <t>Land-Personnel mixed / core development</t>
        </is>
      </c>
      <c r="E15" s="19" t="inlineStr">
        <is>
          <t>Army-funded study; product is explicitly applicable to mobile/stationary vehicles and buildings.</t>
        </is>
      </c>
      <c r="F15" s="19" t="inlineStr">
        <is>
          <t>Supplier award announcement; low-confidence evidence retained</t>
        </is>
      </c>
      <c r="G15" s="19" t="inlineStr">
        <is>
          <t>+1 core development event/family in 2021</t>
        </is>
      </c>
    </row>
    <row r="16">
      <c r="A16" s="19" t="inlineStr">
        <is>
          <t>MEDS programme-scale row</t>
        </is>
      </c>
      <c r="B16" s="19" t="inlineStr">
        <is>
          <t>SM-0079</t>
        </is>
      </c>
      <c r="C16" s="19" t="inlineStr">
        <is>
          <t>Core programme milestone</t>
        </is>
      </c>
      <c r="D16" s="19" t="inlineStr">
        <is>
          <t>Contextual programme-scale report</t>
        </is>
      </c>
      <c r="E16" s="19" t="inlineStr">
        <is>
          <t>No distinct dated lifecycle milestone and 26,000 basis remains unresolved.</t>
        </is>
      </c>
      <c r="F16" s="19" t="inlineStr">
        <is>
          <t>Defence-trade report only</t>
        </is>
      </c>
      <c r="G16" s="19" t="inlineStr">
        <is>
          <t>-1 core event in 2024; no order/quantity impact</t>
        </is>
      </c>
    </row>
    <row r="17">
      <c r="A17" s="19" t="inlineStr">
        <is>
          <t>Buyer canonicalization</t>
        </is>
      </c>
      <c r="B17" s="19" t="inlineStr">
        <is>
          <t>SM-0051; SM-0055; SM-0060; SM-0061; SM-0070</t>
        </is>
      </c>
      <c r="C17" s="19" t="inlineStr">
        <is>
          <t>Two Norwegian buyer labels</t>
        </is>
      </c>
      <c r="D17" s="19" t="inlineStr">
        <is>
          <t>Norwegian FMA</t>
        </is>
      </c>
      <c r="E17" s="19" t="inlineStr">
        <is>
          <t>Same framework and procurement authority; logistics-office wording was not a separate buyer.</t>
        </is>
      </c>
      <c r="F17" s="19" t="inlineStr">
        <is>
          <t>Framework 4600002386 / PO chain</t>
        </is>
      </c>
      <c r="G17" s="19" t="inlineStr">
        <is>
          <t>-1 unique buyer in 2024</t>
        </is>
      </c>
    </row>
    <row r="18">
      <c r="A18" s="19" t="inlineStr">
        <is>
          <t>MEDS supplier canonicalization</t>
        </is>
      </c>
      <c r="B18" s="19" t="inlineStr">
        <is>
          <t>All JP-MEDS rows</t>
        </is>
      </c>
      <c r="C18" s="19" t="inlineStr">
        <is>
          <t>NAS, Fibrotex and undisclosed counted separately</t>
        </is>
      </c>
      <c r="D18" s="19" t="inlineStr">
        <is>
          <t>NAS / Fibrotex programme team</t>
        </is>
      </c>
      <c r="E18" s="19" t="inlineStr">
        <is>
          <t>NAS is the contracting supplier and Fibrotex the technology supplier within one programme chain.</t>
        </is>
      </c>
      <c r="F18" s="19" t="inlineStr">
        <is>
          <t>ATLA records and programme report</t>
        </is>
      </c>
      <c r="G18" s="19" t="inlineStr">
        <is>
          <t>Prevents supplier-count inflation</t>
        </is>
      </c>
    </row>
    <row r="19">
      <c r="A19" s="19" t="inlineStr">
        <is>
          <t>ARC buyer/domain correction</t>
        </is>
      </c>
      <c r="B19" s="19" t="inlineStr">
        <is>
          <t>SM-0137; SM-0085; SM-0104; SM-0142</t>
        </is>
      </c>
      <c r="C19" s="19" t="inlineStr">
        <is>
          <t>Japan buyer / Maritime by inference</t>
        </is>
      </c>
      <c r="D19" s="19" t="inlineStr">
        <is>
          <t>U.S. Navy buyer corrected; Other/contextual where end use unknown</t>
        </is>
      </c>
      <c r="E19" s="19" t="inlineStr">
        <is>
          <t>N65236 is NIWC Atlantic; naval buyer alone does not prove maritime end use.</t>
        </is>
      </c>
      <c r="F19" s="19" t="inlineStr">
        <is>
          <t>Procurement identifiers and notices</t>
        </is>
      </c>
      <c r="G19" s="19" t="inlineStr">
        <is>
          <t>No land-core metric impact</t>
        </is>
      </c>
    </row>
    <row r="20">
      <c r="A20" s="19" t="inlineStr">
        <is>
          <t>Missing BERBERYS contract</t>
        </is>
      </c>
      <c r="B20" s="19" t="inlineStr">
        <is>
          <t>SM-0145</t>
        </is>
      </c>
      <c r="C20" s="19" t="inlineStr">
        <is>
          <t>Absent</t>
        </is>
      </c>
      <c r="D20" s="19" t="inlineStr">
        <is>
          <t>Added as separate 24 Jun 2024 production contract</t>
        </is>
      </c>
      <c r="E20" s="19" t="inlineStr">
        <is>
          <t>Official filing identifies separate WB Electronics contract worth PLN21.976m for 2024–26 deliveries.</t>
        </is>
      </c>
      <c r="F20" s="19" t="inlineStr">
        <is>
          <t>Lubawa regulatory filing 13/2024</t>
        </is>
      </c>
      <c r="G20" s="19" t="inlineStr">
        <is>
          <t>+1 core event/order/family/buyer in 2024</t>
        </is>
      </c>
    </row>
  </sheetData>
  <mergeCells count="4">
    <mergeCell ref="A1:C1"/>
    <mergeCell ref="A2:C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1" customWidth="1" min="1" max="1"/>
    <col width="110" customWidth="1" min="2" max="2"/>
  </cols>
  <sheetData>
    <row r="1" ht="30" customHeight="1">
      <c r="A1" s="3" t="inlineStr">
        <is>
          <t>Method, Definitions &amp; Remaining Risks</t>
        </is>
      </c>
    </row>
    <row r="2" ht="32" customHeight="1">
      <c r="A2" s="6" t="inlineStr">
        <is>
          <t>Independent procurement-evidence stream; no synthesis with ABLE, Strategy Analyzer or external market-size studies.</t>
        </is>
      </c>
    </row>
    <row r="4" ht="28" customHeight="1">
      <c r="A4" s="16" t="inlineStr">
        <is>
          <t>Term / control</t>
        </is>
      </c>
      <c r="B4" s="16" t="inlineStr">
        <is>
          <t>Definition / rule</t>
        </is>
      </c>
    </row>
    <row r="5">
      <c r="A5" s="20" t="inlineStr">
        <is>
          <t>Research window</t>
        </is>
      </c>
      <c r="B5" s="20" t="inlineStr">
        <is>
          <t>1 Jan 2020 through 9 Sep 2026.</t>
        </is>
      </c>
    </row>
    <row r="6">
      <c r="A6" s="20" t="inlineStr">
        <is>
          <t>Core market</t>
        </is>
      </c>
      <c r="B6" s="20" t="inlineStr">
        <is>
          <t>Military signature management / signature reduction primarily for land platforms, including static and platform-mounted multispectral systems and relevant RCS/coating solutions.</t>
        </is>
      </c>
    </row>
    <row r="7">
      <c r="A7" s="20" t="inlineStr">
        <is>
          <t>Actual Order</t>
        </is>
      </c>
      <c r="B7" s="20" t="inlineStr">
        <is>
          <t>Signed production purchase/order/call-off/option exercise. Excludes tenders, frameworks, selections, trials, fielding milestones and funded R&amp;D.</t>
        </is>
      </c>
    </row>
    <row r="8">
      <c r="A8" s="20" t="inlineStr">
        <is>
          <t>Programme family</t>
        </is>
      </c>
      <c r="B8" s="20" t="inlineStr">
        <is>
          <t>Canonical procurement chain linking lifecycle stages and repeat orders. A family is counted once per year in Active Programmes, regardless of row count.</t>
        </is>
      </c>
    </row>
    <row r="9">
      <c r="A9" s="20" t="inlineStr">
        <is>
          <t>Total public events</t>
        </is>
      </c>
      <c r="B9" s="20" t="inlineStr">
        <is>
          <t>All distinct land-core lifecycle events after publication-level deduplication.</t>
        </is>
      </c>
    </row>
    <row r="10">
      <c r="A10" s="20" t="inlineStr">
        <is>
          <t>Development / validation</t>
        </is>
      </c>
      <c r="B10" s="20" t="inlineStr">
        <is>
          <t>Funded R&amp;D, prototype, test, trial or verification events; not production orders.</t>
        </is>
      </c>
    </row>
    <row r="11">
      <c r="A11" s="20" t="inlineStr">
        <is>
          <t>Quantity</t>
        </is>
      </c>
      <c r="B11" s="20" t="inlineStr">
        <is>
          <t>Only disclosed contract/order or explicitly reported delivered quantity. Tender maxima, framework ceilings and programme-scale claims are not summed as actual units.</t>
        </is>
      </c>
    </row>
    <row r="12">
      <c r="A12" s="20" t="inlineStr">
        <is>
          <t>Value</t>
        </is>
      </c>
      <c r="B12" s="20" t="inlineStr">
        <is>
          <t>Recorded in original currency; ceilings and firm obligations/orders are distinguished. No FX conversion or market-size extrapolation is made.</t>
        </is>
      </c>
    </row>
    <row r="13">
      <c r="A13" s="20" t="inlineStr">
        <is>
          <t>Evidence hierarchy</t>
        </is>
      </c>
      <c r="B13" s="20" t="inlineStr">
        <is>
          <t>Government/MOD/procurement authority; official filing; prime/supplier; defence trade press; aggregator only when primary data unavailable.</t>
        </is>
      </c>
    </row>
    <row r="14">
      <c r="A14" s="20" t="inlineStr">
        <is>
          <t>Source hierarchy applied</t>
        </is>
      </c>
      <c r="B14" s="20" t="inlineStr">
        <is>
          <t>The 92-row company event dataset is event-level; the company master is discovery/enrichment only; the 42-event workbook and working reconciliation supply reconciled lifecycle leads.</t>
        </is>
      </c>
    </row>
    <row r="15">
      <c r="A15" s="20" t="inlineStr">
        <is>
          <t>Completeness risk</t>
        </is>
      </c>
      <c r="B15" s="20" t="inlineStr">
        <is>
          <t>Public procurement is incomplete by nature: classified contracts, undisclosed call-offs, poor indexation, local-language portals and reseller/prime-contractor structures can hide events.</t>
        </is>
      </c>
    </row>
    <row r="16">
      <c r="A16" s="20" t="inlineStr">
        <is>
          <t>Analytical boundary</t>
        </is>
      </c>
      <c r="B16" s="20" t="inlineStr">
        <is>
          <t>The workbook supports observed procurement momentum only. It does not claim market CAGR, total market growth or continuously accelerating order volume.</t>
        </is>
      </c>
    </row>
    <row r="17">
      <c r="A17" s="88" t="inlineStr">
        <is>
          <t>Final QA controls</t>
        </is>
      </c>
      <c r="B17" s="89" t="inlineStr">
        <is>
          <t>All headline and annual metrics reproduce from row-level flags; family IDs were audited across all retained events; duplicate publications were removed; domain follows end use rather than contracting organization.</t>
        </is>
      </c>
    </row>
    <row r="18">
      <c r="A18" s="88" t="inlineStr">
        <is>
          <t>Concentration control</t>
        </is>
      </c>
      <c r="B18" s="89" t="inlineStr">
        <is>
          <t>Annual order counts are accompanied by order-bearing-family counts, largest-family orders and largest-family share.</t>
        </is>
      </c>
    </row>
    <row r="19">
      <c r="A19" s="88" t="inlineStr">
        <is>
          <t>Supplier metric</t>
        </is>
      </c>
      <c r="B19" s="89" t="inlineStr">
        <is>
          <t>Counts canonical supplier/programme teams to avoid counting NAS and Fibrotex separately for the same MEDS chain.</t>
        </is>
      </c>
    </row>
    <row r="20">
      <c r="A20" s="88" t="inlineStr">
        <is>
          <t>Buyer metric</t>
        </is>
      </c>
      <c r="B20" s="89" t="inlineStr">
        <is>
          <t>Counts canonical procurement buyers; organizational label changes and offices within one procurement chain are consolidated.</t>
        </is>
      </c>
    </row>
    <row r="21">
      <c r="A21" s="88" t="inlineStr">
        <is>
          <t>Presentation status</t>
        </is>
      </c>
      <c r="B21" s="89" t="inlineStr">
        <is>
          <t>No presentation file was opened or modified during this QA pass.</t>
        </is>
      </c>
    </row>
    <row r="22">
      <c r="A22" s="88" t="inlineStr">
        <is>
          <t>Final conclusion</t>
        </is>
      </c>
      <c r="B22" s="89" t="inlineStr">
        <is>
          <t>Broader activity-base evidence is strengthened. Annual orders remain uneven and concentrated; no market CAGR, continuous total-volume growth or accelerating-order claim is supported.</t>
        </is>
      </c>
    </row>
  </sheetData>
  <mergeCells count="2">
    <mergeCell ref="A2:B2"/>
    <mergeCell ref="A1:B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activeCell="A1" sqref="A1"/>
    </sheetView>
  </sheetViews>
  <sheetFormatPr baseColWidth="8" defaultRowHeight="15"/>
  <cols>
    <col width="18" customWidth="1" min="1" max="1"/>
    <col width="18" customWidth="1" min="2" max="2"/>
    <col width="18" customWidth="1" min="3" max="3"/>
    <col width="32" customWidth="1" min="4" max="4"/>
    <col width="18" customWidth="1" min="5" max="5"/>
    <col width="18" customWidth="1" min="6" max="6"/>
    <col width="18" customWidth="1" min="7" max="7"/>
    <col width="18" customWidth="1" min="8" max="8"/>
  </cols>
  <sheetData>
    <row r="1">
      <c r="A1" s="46" t="inlineStr">
        <is>
          <t>Order Concentration by Year</t>
        </is>
      </c>
    </row>
    <row r="2">
      <c r="A2" t="inlineStr">
        <is>
          <t>High annual order counts can reflect repeated call-offs within one programme rather than broad-based growth.</t>
        </is>
      </c>
    </row>
    <row r="4">
      <c r="A4" s="52" t="inlineStr">
        <is>
          <t>Year</t>
        </is>
      </c>
      <c r="B4" s="52" t="inlineStr">
        <is>
          <t>Actual Orders</t>
        </is>
      </c>
      <c r="C4" s="52" t="inlineStr">
        <is>
          <t>Order-bearing Families</t>
        </is>
      </c>
      <c r="D4" s="52" t="inlineStr">
        <is>
          <t>Largest Family</t>
        </is>
      </c>
      <c r="E4" s="52" t="inlineStr">
        <is>
          <t>Largest Family Orders</t>
        </is>
      </c>
      <c r="F4" s="52" t="inlineStr">
        <is>
          <t>Largest Family Share</t>
        </is>
      </c>
      <c r="G4" s="52" t="inlineStr">
        <is>
          <t>ULCANS Orders</t>
        </is>
      </c>
      <c r="H4" s="52" t="inlineStr">
        <is>
          <t>Japan MEDS Orders</t>
        </is>
      </c>
    </row>
    <row r="5">
      <c r="A5" s="19" t="n">
        <v>2020</v>
      </c>
      <c r="B5" s="19" t="n">
        <v>14</v>
      </c>
      <c r="C5" s="19" t="n">
        <v>2</v>
      </c>
      <c r="D5" s="19" t="inlineStr">
        <is>
          <t>ULCANS-IDV-W911QY18D0210</t>
        </is>
      </c>
      <c r="E5" s="19" t="n">
        <v>13</v>
      </c>
      <c r="F5" s="97" t="n">
        <v>0.9285714286</v>
      </c>
      <c r="G5" s="19" t="n">
        <v>13</v>
      </c>
      <c r="H5" s="19" t="n">
        <v>0</v>
      </c>
    </row>
    <row r="6">
      <c r="A6" s="19" t="n">
        <v>2021</v>
      </c>
      <c r="B6" s="19" t="n">
        <v>5</v>
      </c>
      <c r="C6" s="19" t="n">
        <v>2</v>
      </c>
      <c r="D6" s="19" t="inlineStr">
        <is>
          <t>ULCANS-IDV-W911QY18D0210</t>
        </is>
      </c>
      <c r="E6" s="19" t="n">
        <v>4</v>
      </c>
      <c r="F6" s="97" t="n">
        <v>0.8</v>
      </c>
      <c r="G6" s="19" t="n">
        <v>4</v>
      </c>
      <c r="H6" s="19" t="n">
        <v>0</v>
      </c>
    </row>
    <row r="7">
      <c r="A7" s="19" t="n">
        <v>2022</v>
      </c>
      <c r="B7" s="19" t="n">
        <v>6</v>
      </c>
      <c r="C7" s="19" t="n">
        <v>3</v>
      </c>
      <c r="D7" s="19" t="inlineStr">
        <is>
          <t>ULCANS-IDV-W911QY18D0210</t>
        </is>
      </c>
      <c r="E7" s="19" t="n">
        <v>4</v>
      </c>
      <c r="F7" s="97" t="n">
        <v>0.6666666667</v>
      </c>
      <c r="G7" s="19" t="n">
        <v>4</v>
      </c>
      <c r="H7" s="19" t="n">
        <v>0</v>
      </c>
    </row>
    <row r="8">
      <c r="A8" s="19" t="n">
        <v>2023</v>
      </c>
      <c r="B8" s="19" t="n">
        <v>5</v>
      </c>
      <c r="C8" s="19" t="n">
        <v>3</v>
      </c>
      <c r="D8" s="19" t="inlineStr">
        <is>
          <t>NO-SAAB-MCS-4600002386</t>
        </is>
      </c>
      <c r="E8" s="19" t="n">
        <v>2</v>
      </c>
      <c r="F8" s="97" t="n">
        <v>0.4</v>
      </c>
      <c r="G8" s="19" t="n">
        <v>2</v>
      </c>
      <c r="H8" s="19" t="n">
        <v>0</v>
      </c>
    </row>
    <row r="9">
      <c r="A9" s="19" t="n">
        <v>2024</v>
      </c>
      <c r="B9" s="19" t="n">
        <v>13</v>
      </c>
      <c r="C9" s="19" t="n">
        <v>9</v>
      </c>
      <c r="D9" s="19" t="inlineStr">
        <is>
          <t>ULCANS-IDV-W911QY18D0210</t>
        </is>
      </c>
      <c r="E9" s="19" t="n">
        <v>3</v>
      </c>
      <c r="F9" s="97" t="n">
        <v>0.2307692308</v>
      </c>
      <c r="G9" s="19" t="n">
        <v>3</v>
      </c>
      <c r="H9" s="19" t="n">
        <v>1</v>
      </c>
    </row>
    <row r="10">
      <c r="A10" s="19" t="n">
        <v>2025</v>
      </c>
      <c r="B10" s="19" t="n">
        <v>18</v>
      </c>
      <c r="C10" s="19" t="n">
        <v>4</v>
      </c>
      <c r="D10" s="19" t="inlineStr">
        <is>
          <t>JP-MEDS</t>
        </is>
      </c>
      <c r="E10" s="19" t="n">
        <v>13</v>
      </c>
      <c r="F10" s="97" t="n">
        <v>0.7222222222</v>
      </c>
      <c r="G10" s="19" t="n">
        <v>3</v>
      </c>
      <c r="H10" s="19" t="n">
        <v>13</v>
      </c>
    </row>
    <row r="11">
      <c r="A11" s="19" t="n">
        <v>2026</v>
      </c>
      <c r="B11" s="19" t="n">
        <v>15</v>
      </c>
      <c r="C11" s="19" t="n">
        <v>9</v>
      </c>
      <c r="D11" s="19" t="inlineStr">
        <is>
          <t>JP-MEDS</t>
        </is>
      </c>
      <c r="E11" s="19" t="n">
        <v>4</v>
      </c>
      <c r="F11" s="97" t="n">
        <v>0.2666666667</v>
      </c>
      <c r="G11" s="19" t="n">
        <v>4</v>
      </c>
      <c r="H11" s="19" t="n">
        <v>4</v>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2026-09-10T12:24:19Z</dcterms:created>
  <dcterms:modified xmlns:dcterms="http://purl.org/dc/terms/" xmlns:xsi="http://www.w3.org/2001/XMLSchema-instance" xsi:type="dcterms:W3CDTF">2026-09-10T12:24:19Z</dcterms:modified>
</cp:coreProperties>
</file>